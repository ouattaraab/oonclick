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📐 Hypothèses" sheetId="1" state="visible" r:id="rId3"/>
    <sheet name="📈 P&amp;L Projections" sheetId="2" state="visible" r:id="rId4"/>
    <sheet name="💰 Cash Flow" sheetId="3" state="visible" r:id="rId5"/>
    <sheet name="📊 KPI &amp; Métriqu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<sst xmlns="http://schemas.openxmlformats.org/spreadsheetml/2006/main" count="167" uniqueCount="147">
  <si>
    <t xml:space="preserve">oon.click — Hypothèses du Modèle Financier (modifiez les cellules bleues)</t>
  </si>
  <si>
    <t xml:space="preserve">ABONNÉS</t>
  </si>
  <si>
    <t xml:space="preserve">Paramètre</t>
  </si>
  <si>
    <t xml:space="preserve">2026</t>
  </si>
  <si>
    <t xml:space="preserve">2027</t>
  </si>
  <si>
    <t xml:space="preserve">2028</t>
  </si>
  <si>
    <t xml:space="preserve">Nouveaux abonnés/mois (début période)</t>
  </si>
  <si>
    <t xml:space="preserve">Taux de croissance mensuel abonnés</t>
  </si>
  <si>
    <t xml:space="preserve">Taux de rétention mensuel abonnés</t>
  </si>
  <si>
    <t xml:space="preserve">% profil complété (bonus inscription)</t>
  </si>
  <si>
    <t xml:space="preserve">Bonus inscription (FCFA)</t>
  </si>
  <si>
    <t xml:space="preserve">Nb pubs vues/abonné actif/mois</t>
  </si>
  <si>
    <t xml:space="preserve">Rémunération abonné/vue (FCFA)</t>
  </si>
  <si>
    <t xml:space="preserve">ANNONCEURS</t>
  </si>
  <si>
    <t xml:space="preserve">Nouveaux annonceurs/mois (début)</t>
  </si>
  <si>
    <t xml:space="preserve">Budget moyen campagne (FCFA)</t>
  </si>
  <si>
    <t xml:space="preserve">Nb campagnes/annonceur actif/mois</t>
  </si>
  <si>
    <t xml:space="preserve">Tarif par abonné ciblé (FCFA)</t>
  </si>
  <si>
    <t xml:space="preserve">% annonceurs avec abonnement OON Pro</t>
  </si>
  <si>
    <t xml:space="preserve">Revenu moyen abonnement OON Pro (FCFA/mois)</t>
  </si>
  <si>
    <t xml:space="preserve">Taux de rétention annonceur mensuel</t>
  </si>
  <si>
    <t xml:space="preserve">COÛTS OPÉRATIONNELS (FCFA/mois)</t>
  </si>
  <si>
    <t xml:space="preserve">Poste de coût</t>
  </si>
  <si>
    <t xml:space="preserve">Infra Cloud (AWS/GCP)</t>
  </si>
  <si>
    <t xml:space="preserve">Agrégateur Paystack (% transactions)</t>
  </si>
  <si>
    <t xml:space="preserve">Firebase / Notifications</t>
  </si>
  <si>
    <t xml:space="preserve">Modération contenu (AWS Rekognition)</t>
  </si>
  <si>
    <t xml:space="preserve">Masse salariale équipe tech (7 pers.)</t>
  </si>
  <si>
    <t xml:space="preserve">Marketing &amp; Acquisition</t>
  </si>
  <si>
    <t xml:space="preserve">Juridique &amp; Conformité</t>
  </si>
  <si>
    <t xml:space="preserve">Divers &amp; Imprévus (% charges totales)</t>
  </si>
  <si>
    <t xml:space="preserve">oon.click — Compte de Résultat Prévisionnel (FCFA)</t>
  </si>
  <si>
    <t xml:space="preserve">Poste</t>
  </si>
  <si>
    <t xml:space="preserve">2026 (FCFA)</t>
  </si>
  <si>
    <t xml:space="preserve">2027 (FCFA)</t>
  </si>
  <si>
    <t xml:space="preserve">2028 (FCFA)</t>
  </si>
  <si>
    <t xml:space="preserve">REVENUS</t>
  </si>
  <si>
    <t xml:space="preserve">Revenus Campagnes Annonceurs</t>
  </si>
  <si>
    <t xml:space="preserve">← tarif×abonnés ciblés</t>
  </si>
  <si>
    <t xml:space="preserve">Revenus Formats Premium (Scratch, Audio, Flash)</t>
  </si>
  <si>
    <t xml:space="preserve">← 10% des campagnes en premium</t>
  </si>
  <si>
    <t xml:space="preserve">Revenus Abonnements OON Pro Annonceurs</t>
  </si>
  <si>
    <t xml:space="preserve">← OON Pro moyen 30-50k FCFA/mois</t>
  </si>
  <si>
    <t xml:space="preserve">Revenus Marketplace Créatifs</t>
  </si>
  <si>
    <t xml:space="preserve">← commission 12%</t>
  </si>
  <si>
    <t xml:space="preserve">TOTAL REVENUS</t>
  </si>
  <si>
    <t xml:space="preserve">CHARGES DIRECTES</t>
  </si>
  <si>
    <t xml:space="preserve">Rémunération abonnés (vues pubs)</t>
  </si>
  <si>
    <t xml:space="preserve">← 50% des revenus campagnes</t>
  </si>
  <si>
    <t xml:space="preserve">Bonus inscription abonnés</t>
  </si>
  <si>
    <t xml:space="preserve">← 500 FCFA × nouveaux profils complétés</t>
  </si>
  <si>
    <t xml:space="preserve">Frais Paystack (1.5% transactions)</t>
  </si>
  <si>
    <t xml:space="preserve">← sur revenus annonceurs</t>
  </si>
  <si>
    <t xml:space="preserve">TOTAL CHARGES DIRECTES</t>
  </si>
  <si>
    <t xml:space="preserve">MARGE BRUTE</t>
  </si>
  <si>
    <t xml:space="preserve">% Marge Brute</t>
  </si>
  <si>
    <t xml:space="preserve">CHARGES OPÉRATIONNELLES</t>
  </si>
  <si>
    <t xml:space="preserve">Infra Cloud &amp; Hébergement</t>
  </si>
  <si>
    <t xml:space="preserve">Firebase / Notifications / SMS</t>
  </si>
  <si>
    <t xml:space="preserve">Modération Contenu (IA + humain)</t>
  </si>
  <si>
    <t xml:space="preserve">Masse salariale Tech (7→10→15 pers.)</t>
  </si>
  <si>
    <t xml:space="preserve">Marketing &amp; Acquisition abonnés/annonceurs</t>
  </si>
  <si>
    <t xml:space="preserve">Juridique &amp; Conformité ARTCI/BCEAO</t>
  </si>
  <si>
    <t xml:space="preserve">Divers &amp; Imprévus (10%)</t>
  </si>
  <si>
    <t xml:space="preserve">TOTAL CHARGES OPÉRA.</t>
  </si>
  <si>
    <t xml:space="preserve">RÉSULTAT OPÉRATIONNEL (EBITDA)</t>
  </si>
  <si>
    <t xml:space="preserve">% EBITDA</t>
  </si>
  <si>
    <t xml:space="preserve">Amortissements &amp; Dépréciations</t>
  </si>
  <si>
    <t xml:space="preserve">RÉSULTAT NET AVANT IMPÔTS</t>
  </si>
  <si>
    <t xml:space="preserve">Impôt sur les bénéfices (25% si positif)</t>
  </si>
  <si>
    <t xml:space="preserve">RÉSULTAT NET</t>
  </si>
  <si>
    <t xml:space="preserve">oon.click — Cash Flow Prévisionnel (FCFA)</t>
  </si>
  <si>
    <t xml:space="preserve">FLUX D'EXPLOITATION</t>
  </si>
  <si>
    <t xml:space="preserve">Résultat net</t>
  </si>
  <si>
    <t xml:space="preserve">+ Amortissements</t>
  </si>
  <si>
    <t xml:space="preserve">Variation BFR (délai paiements)</t>
  </si>
  <si>
    <t xml:space="preserve">FLUX OPÉRATIONNEL NET</t>
  </si>
  <si>
    <t xml:space="preserve">FLUX D'INVESTISSEMENT</t>
  </si>
  <si>
    <t xml:space="preserve">Développement &amp; Infrastructure</t>
  </si>
  <si>
    <t xml:space="preserve">-15000000</t>
  </si>
  <si>
    <t xml:space="preserve">-8000000</t>
  </si>
  <si>
    <t xml:space="preserve">-5000000</t>
  </si>
  <si>
    <t xml:space="preserve">Équipements &amp; Licences</t>
  </si>
  <si>
    <t xml:space="preserve">-2000000</t>
  </si>
  <si>
    <t xml:space="preserve">-1500000</t>
  </si>
  <si>
    <t xml:space="preserve">-1000000</t>
  </si>
  <si>
    <t xml:space="preserve">FLUX D'INVESTISSEMENT NET</t>
  </si>
  <si>
    <t xml:space="preserve">FLUX DE FINANCEMENT</t>
  </si>
  <si>
    <t xml:space="preserve">Levée de fonds / Apport capital</t>
  </si>
  <si>
    <t xml:space="preserve">Remboursements emprunts</t>
  </si>
  <si>
    <t xml:space="preserve">FLUX DE FINANCEMENT NET</t>
  </si>
  <si>
    <t xml:space="preserve">VARIATION DE TRÉSORERIE</t>
  </si>
  <si>
    <t xml:space="preserve">Trésorerie début de période</t>
  </si>
  <si>
    <t xml:space="preserve">TRÉSORERIE FIN DE PÉRIODE</t>
  </si>
  <si>
    <t xml:space="preserve">oon.click — KPI &amp; Métriques Clés</t>
  </si>
  <si>
    <t xml:space="preserve">KPI</t>
  </si>
  <si>
    <t xml:space="preserve">Cible M+6</t>
  </si>
  <si>
    <t xml:space="preserve">Cible M+12</t>
  </si>
  <si>
    <t xml:space="preserve">Cible M+24</t>
  </si>
  <si>
    <t xml:space="preserve">Commentaire</t>
  </si>
  <si>
    <t xml:space="preserve">Abonnés actifs (MAU)</t>
  </si>
  <si>
    <t xml:space="preserve">DAU/MAU Ratio</t>
  </si>
  <si>
    <t xml:space="preserve">25%</t>
  </si>
  <si>
    <t xml:space="preserve">35%</t>
  </si>
  <si>
    <t xml:space="preserve">42%</t>
  </si>
  <si>
    <t xml:space="preserve">Engagement quotidien</t>
  </si>
  <si>
    <t xml:space="preserve">Taux rétention mensuel abonnés</t>
  </si>
  <si>
    <t xml:space="preserve">75%</t>
  </si>
  <si>
    <t xml:space="preserve">80%</t>
  </si>
  <si>
    <t xml:space="preserve">85%</t>
  </si>
  <si>
    <t xml:space="preserve">Taux complétion profil</t>
  </si>
  <si>
    <t xml:space="preserve">70%</t>
  </si>
  <si>
    <t xml:space="preserve">Coût d'acquisition abonné (CAC) — FCFA</t>
  </si>
  <si>
    <t xml:space="preserve">Inclus Marketing + Bonus inscription</t>
  </si>
  <si>
    <t xml:space="preserve">Annonceurs actifs/mois</t>
  </si>
  <si>
    <t xml:space="preserve">ARPU Annonceur mensuel (FCFA)</t>
  </si>
  <si>
    <t xml:space="preserve">Taux rétention annonceur mensuel</t>
  </si>
  <si>
    <t xml:space="preserve">78%</t>
  </si>
  <si>
    <t xml:space="preserve">Durée vie moyenne annonceur (mois)</t>
  </si>
  <si>
    <t xml:space="preserve">LTV/CAC &gt; 3x</t>
  </si>
  <si>
    <t xml:space="preserve">PRODUIT</t>
  </si>
  <si>
    <t xml:space="preserve">Taux d'ouverture pub</t>
  </si>
  <si>
    <t xml:space="preserve">&gt;40%</t>
  </si>
  <si>
    <t xml:space="preserve">&gt;55%</t>
  </si>
  <si>
    <t xml:space="preserve">&gt;65%</t>
  </si>
  <si>
    <t xml:space="preserve">Taux de fraude détectée</t>
  </si>
  <si>
    <t xml:space="preserve">&lt;2%</t>
  </si>
  <si>
    <t xml:space="preserve">&lt;0.5%</t>
  </si>
  <si>
    <t xml:space="preserve">&lt;0.2%</t>
  </si>
  <si>
    <t xml:space="preserve">Délai retrait moyen (heures)</t>
  </si>
  <si>
    <t xml:space="preserve">&lt;24</t>
  </si>
  <si>
    <t xml:space="preserve">&lt;8</t>
  </si>
  <si>
    <t xml:space="preserve">&lt;4</t>
  </si>
  <si>
    <t xml:space="preserve">NPS Abonné (Net Promoter Score)</t>
  </si>
  <si>
    <t xml:space="preserve">NPS Annonceur</t>
  </si>
  <si>
    <t xml:space="preserve">FINANCIER</t>
  </si>
  <si>
    <t xml:space="preserve">Revenus totaux (FCFA/an)</t>
  </si>
  <si>
    <t xml:space="preserve">Marge brute</t>
  </si>
  <si>
    <t xml:space="preserve">54%</t>
  </si>
  <si>
    <t xml:space="preserve">52%</t>
  </si>
  <si>
    <t xml:space="preserve">EBITDA (FCFA/an)</t>
  </si>
  <si>
    <t xml:space="preserve">-12%</t>
  </si>
  <si>
    <t xml:space="preserve">12%</t>
  </si>
  <si>
    <t xml:space="preserve">22%</t>
  </si>
  <si>
    <t xml:space="preserve">Break-even mensuel (FCFA revenus)</t>
  </si>
  <si>
    <t xml:space="preserve">Atteint M+14</t>
  </si>
  <si>
    <t xml:space="preserve">Trésorerie fin de période (FCFA)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</si>
</sst>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#,##0;\(#,##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C2B3A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999999"/>
      <name val="Arial"/>
      <family val="0"/>
      <charset val="1"/>
    </font>
    <font>
      <b val="true"/>
      <sz val="9"/>
      <color rgb="FF1A3C6E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3C6E"/>
        <bgColor rgb="FF333399"/>
      </patternFill>
    </fill>
    <fill>
      <patternFill patternType="solid">
        <fgColor rgb="FF00A878"/>
        <bgColor rgb="FF008080"/>
      </patternFill>
    </fill>
    <fill>
      <patternFill patternType="solid">
        <fgColor rgb="FFFFFFFF"/>
        <bgColor rgb="FFF5F6FA"/>
      </patternFill>
    </fill>
    <fill>
      <patternFill patternType="solid">
        <fgColor rgb="FFFFF9C4"/>
        <bgColor rgb="FFFFFF99"/>
      </patternFill>
    </fill>
    <fill>
      <patternFill patternType="solid">
        <fgColor rgb="FFF5F6FA"/>
        <bgColor rgb="FFEAF4F0"/>
      </patternFill>
    </fill>
    <fill>
      <patternFill patternType="solid">
        <fgColor rgb="FFEAF4F0"/>
        <bgColor rgb="FFF5F6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CE8"/>
      </left>
      <right style="thin">
        <color rgb="FFD0DCE8"/>
      </right>
      <top style="thin">
        <color rgb="FFD0DCE8"/>
      </top>
      <bottom style="thin">
        <color rgb="FFD0DC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EAF4F0"/>
      <rgbColor rgb="FF660066"/>
      <rgbColor rgb="FFFF8080"/>
      <rgbColor rgb="FF0066CC"/>
      <rgbColor rgb="FFD0DC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6F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A3C6E"/>
      <rgbColor rgb="FF00A878"/>
      <rgbColor rgb="FF003300"/>
      <rgbColor rgb="FF333300"/>
      <rgbColor rgb="FF993300"/>
      <rgbColor rgb="FF993366"/>
      <rgbColor rgb="FF333399"/>
      <rgbColor rgb="FF1C2B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4" min="2" style="1" width="16"/>
  </cols>
  <sheetData>
    <row r="1" customFormat="false" ht="27.75" hidden="false" customHeight="true" outlineLevel="0" collapsed="false">
      <c r="A1" s="2" t="s">
        <v>0</v>
      </c>
      <c r="B1" s="2"/>
      <c r="C1" s="2"/>
      <c r="D1" s="2"/>
    </row>
    <row r="3" customFormat="false" ht="21.75" hidden="false" customHeight="true" outlineLevel="0" collapsed="false">
      <c r="A3" s="3" t="s">
        <v>1</v>
      </c>
      <c r="B3" s="3"/>
      <c r="C3" s="3"/>
      <c r="D3" s="3"/>
    </row>
    <row r="4" customFormat="false" ht="19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true" outlineLevel="0" collapsed="false">
      <c r="A5" s="5" t="s">
        <v>6</v>
      </c>
      <c r="B5" s="6" t="n">
        <v>500</v>
      </c>
      <c r="C5" s="6" t="n">
        <v>3000</v>
      </c>
      <c r="D5" s="6" t="n">
        <v>10000</v>
      </c>
    </row>
    <row r="6" customFormat="false" ht="15" hidden="false" customHeight="true" outlineLevel="0" collapsed="false">
      <c r="A6" s="7" t="s">
        <v>7</v>
      </c>
      <c r="B6" s="8" t="n">
        <v>0.15</v>
      </c>
      <c r="C6" s="8" t="n">
        <v>0.12</v>
      </c>
      <c r="D6" s="8" t="n">
        <v>0.1</v>
      </c>
    </row>
    <row r="7" customFormat="false" ht="15" hidden="false" customHeight="true" outlineLevel="0" collapsed="false">
      <c r="A7" s="5" t="s">
        <v>8</v>
      </c>
      <c r="B7" s="8" t="n">
        <v>0.75</v>
      </c>
      <c r="C7" s="8" t="n">
        <v>0.8</v>
      </c>
      <c r="D7" s="8" t="n">
        <v>0.85</v>
      </c>
    </row>
    <row r="8" customFormat="false" ht="15" hidden="false" customHeight="true" outlineLevel="0" collapsed="false">
      <c r="A8" s="7" t="s">
        <v>9</v>
      </c>
      <c r="B8" s="8" t="n">
        <v>0.7</v>
      </c>
      <c r="C8" s="8" t="n">
        <v>0.75</v>
      </c>
      <c r="D8" s="8" t="n">
        <v>0.8</v>
      </c>
    </row>
    <row r="9" customFormat="false" ht="15" hidden="false" customHeight="true" outlineLevel="0" collapsed="false">
      <c r="A9" s="5" t="s">
        <v>10</v>
      </c>
      <c r="B9" s="6" t="n">
        <v>500</v>
      </c>
      <c r="C9" s="6" t="n">
        <v>500</v>
      </c>
      <c r="D9" s="6" t="n">
        <v>500</v>
      </c>
    </row>
    <row r="10" customFormat="false" ht="15" hidden="false" customHeight="true" outlineLevel="0" collapsed="false">
      <c r="A10" s="7" t="s">
        <v>11</v>
      </c>
      <c r="B10" s="6" t="n">
        <v>12</v>
      </c>
      <c r="C10" s="6" t="n">
        <v>15</v>
      </c>
      <c r="D10" s="6" t="n">
        <v>18</v>
      </c>
    </row>
    <row r="11" customFormat="false" ht="15" hidden="false" customHeight="true" outlineLevel="0" collapsed="false">
      <c r="A11" s="5" t="s">
        <v>12</v>
      </c>
      <c r="B11" s="6" t="n">
        <v>50</v>
      </c>
      <c r="C11" s="6" t="n">
        <v>50</v>
      </c>
      <c r="D11" s="6" t="n">
        <v>55</v>
      </c>
    </row>
    <row r="13" customFormat="false" ht="21.75" hidden="false" customHeight="true" outlineLevel="0" collapsed="false">
      <c r="A13" s="3" t="s">
        <v>13</v>
      </c>
      <c r="B13" s="3"/>
      <c r="C13" s="3"/>
      <c r="D13" s="3"/>
    </row>
    <row r="14" customFormat="false" ht="15" hidden="false" customHeight="true" outlineLevel="0" collapsed="false">
      <c r="A14" s="4" t="s">
        <v>2</v>
      </c>
      <c r="B14" s="4" t="s">
        <v>3</v>
      </c>
      <c r="C14" s="4" t="s">
        <v>4</v>
      </c>
      <c r="D14" s="4" t="s">
        <v>5</v>
      </c>
    </row>
    <row r="15" customFormat="false" ht="15" hidden="false" customHeight="true" outlineLevel="0" collapsed="false">
      <c r="A15" s="5" t="s">
        <v>14</v>
      </c>
      <c r="B15" s="6" t="n">
        <v>10</v>
      </c>
      <c r="C15" s="6" t="n">
        <v>40</v>
      </c>
      <c r="D15" s="6" t="n">
        <v>100</v>
      </c>
    </row>
    <row r="16" customFormat="false" ht="15" hidden="false" customHeight="true" outlineLevel="0" collapsed="false">
      <c r="A16" s="7" t="s">
        <v>15</v>
      </c>
      <c r="B16" s="6" t="n">
        <v>75000</v>
      </c>
      <c r="C16" s="6" t="n">
        <v>100000</v>
      </c>
      <c r="D16" s="6" t="n">
        <v>150000</v>
      </c>
    </row>
    <row r="17" customFormat="false" ht="15" hidden="false" customHeight="true" outlineLevel="0" collapsed="false">
      <c r="A17" s="5" t="s">
        <v>16</v>
      </c>
      <c r="B17" s="6" t="n">
        <v>1.5</v>
      </c>
      <c r="C17" s="6" t="n">
        <v>2</v>
      </c>
      <c r="D17" s="6" t="n">
        <v>2.5</v>
      </c>
    </row>
    <row r="18" customFormat="false" ht="15" hidden="false" customHeight="true" outlineLevel="0" collapsed="false">
      <c r="A18" s="7" t="s">
        <v>17</v>
      </c>
      <c r="B18" s="6" t="n">
        <v>100</v>
      </c>
      <c r="C18" s="6" t="n">
        <v>100</v>
      </c>
      <c r="D18" s="6" t="n">
        <v>110</v>
      </c>
    </row>
    <row r="19" customFormat="false" ht="15" hidden="false" customHeight="true" outlineLevel="0" collapsed="false">
      <c r="A19" s="5" t="s">
        <v>18</v>
      </c>
      <c r="B19" s="8" t="n">
        <v>0.05</v>
      </c>
      <c r="C19" s="8" t="n">
        <v>0.12</v>
      </c>
      <c r="D19" s="8" t="n">
        <v>0.2</v>
      </c>
    </row>
    <row r="20" customFormat="false" ht="21.75" hidden="false" customHeight="true" outlineLevel="0" collapsed="false">
      <c r="A20" s="7" t="s">
        <v>19</v>
      </c>
      <c r="B20" s="6" t="n">
        <v>30000</v>
      </c>
      <c r="C20" s="6" t="n">
        <v>40000</v>
      </c>
      <c r="D20" s="6" t="n">
        <v>50000</v>
      </c>
    </row>
    <row r="21" customFormat="false" ht="15" hidden="false" customHeight="true" outlineLevel="0" collapsed="false">
      <c r="A21" s="5" t="s">
        <v>20</v>
      </c>
      <c r="B21" s="8" t="n">
        <v>0.7</v>
      </c>
      <c r="C21" s="8" t="n">
        <v>0.78</v>
      </c>
      <c r="D21" s="8" t="n">
        <v>0.85</v>
      </c>
    </row>
    <row r="23" customFormat="false" ht="21.75" hidden="false" customHeight="true" outlineLevel="0" collapsed="false">
      <c r="A23" s="3" t="s">
        <v>21</v>
      </c>
      <c r="B23" s="3"/>
      <c r="C23" s="3"/>
      <c r="D23" s="3"/>
    </row>
    <row r="24" customFormat="false" ht="15" hidden="false" customHeight="true" outlineLevel="0" collapsed="false">
      <c r="A24" s="4" t="s">
        <v>22</v>
      </c>
      <c r="B24" s="4" t="s">
        <v>3</v>
      </c>
      <c r="C24" s="4" t="s">
        <v>4</v>
      </c>
      <c r="D24" s="4" t="s">
        <v>5</v>
      </c>
    </row>
    <row r="25" customFormat="false" ht="15" hidden="false" customHeight="true" outlineLevel="0" collapsed="false">
      <c r="A25" s="5" t="s">
        <v>23</v>
      </c>
      <c r="B25" s="6" t="n">
        <v>150000</v>
      </c>
      <c r="C25" s="6" t="n">
        <v>400000</v>
      </c>
      <c r="D25" s="6" t="n">
        <v>900000</v>
      </c>
    </row>
    <row r="26" customFormat="false" ht="15" hidden="false" customHeight="true" outlineLevel="0" collapsed="false">
      <c r="A26" s="7" t="s">
        <v>24</v>
      </c>
      <c r="B26" s="8" t="n">
        <v>0.015</v>
      </c>
      <c r="C26" s="8" t="n">
        <v>0.015</v>
      </c>
      <c r="D26" s="8" t="n">
        <v>0.014</v>
      </c>
    </row>
    <row r="27" customFormat="false" ht="15" hidden="false" customHeight="true" outlineLevel="0" collapsed="false">
      <c r="A27" s="5" t="s">
        <v>25</v>
      </c>
      <c r="B27" s="6" t="n">
        <v>50000</v>
      </c>
      <c r="C27" s="6" t="n">
        <v>120000</v>
      </c>
      <c r="D27" s="6" t="n">
        <v>250000</v>
      </c>
    </row>
    <row r="28" customFormat="false" ht="15" hidden="false" customHeight="true" outlineLevel="0" collapsed="false">
      <c r="A28" s="7" t="s">
        <v>26</v>
      </c>
      <c r="B28" s="6" t="n">
        <v>80000</v>
      </c>
      <c r="C28" s="6" t="n">
        <v>200000</v>
      </c>
      <c r="D28" s="6" t="n">
        <v>400000</v>
      </c>
    </row>
    <row r="29" customFormat="false" ht="15" hidden="false" customHeight="true" outlineLevel="0" collapsed="false">
      <c r="A29" s="5" t="s">
        <v>27</v>
      </c>
      <c r="B29" s="6" t="n">
        <v>3500000</v>
      </c>
      <c r="C29" s="6" t="n">
        <v>5000000</v>
      </c>
      <c r="D29" s="6" t="n">
        <v>7000000</v>
      </c>
    </row>
    <row r="30" customFormat="false" ht="15" hidden="false" customHeight="true" outlineLevel="0" collapsed="false">
      <c r="A30" s="7" t="s">
        <v>28</v>
      </c>
      <c r="B30" s="6" t="n">
        <v>500000</v>
      </c>
      <c r="C30" s="6" t="n">
        <v>1500000</v>
      </c>
      <c r="D30" s="6" t="n">
        <v>3000000</v>
      </c>
    </row>
    <row r="31" customFormat="false" ht="15" hidden="false" customHeight="true" outlineLevel="0" collapsed="false">
      <c r="A31" s="5" t="s">
        <v>29</v>
      </c>
      <c r="B31" s="6" t="n">
        <v>200000</v>
      </c>
      <c r="C31" s="6" t="n">
        <v>250000</v>
      </c>
      <c r="D31" s="6" t="n">
        <v>300000</v>
      </c>
    </row>
    <row r="32" customFormat="false" ht="15" hidden="false" customHeight="true" outlineLevel="0" collapsed="false">
      <c r="A32" s="7" t="s">
        <v>30</v>
      </c>
      <c r="B32" s="8" t="n">
        <v>0.1</v>
      </c>
      <c r="C32" s="8" t="n">
        <v>0.1</v>
      </c>
      <c r="D32" s="8" t="n">
        <v>0.1</v>
      </c>
    </row>
  </sheetData>
  <mergeCells count="4">
    <mergeCell ref="A1:D1"/>
    <mergeCell ref="A3:D3"/>
    <mergeCell ref="A13:D13"/>
    <mergeCell ref="A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6"/>
    <col collapsed="false" customWidth="true" hidden="false" outlineLevel="0" max="5" min="5" style="1" width="40"/>
  </cols>
  <sheetData>
    <row r="1" customFormat="false" ht="27.75" hidden="false" customHeight="true" outlineLevel="0" collapsed="false">
      <c r="A1" s="2" t="s">
        <v>31</v>
      </c>
      <c r="B1" s="2"/>
      <c r="C1" s="2"/>
      <c r="D1" s="2"/>
    </row>
    <row r="2" customFormat="false" ht="21.75" hidden="false" customHeight="true" outlineLevel="0" collapsed="false">
      <c r="A2" s="9" t="s">
        <v>32</v>
      </c>
      <c r="B2" s="9" t="s">
        <v>33</v>
      </c>
      <c r="C2" s="9" t="s">
        <v>34</v>
      </c>
      <c r="D2" s="9" t="s">
        <v>35</v>
      </c>
    </row>
    <row r="3" customFormat="false" ht="18" hidden="false" customHeight="true" outlineLevel="0" collapsed="false">
      <c r="A3" s="10" t="s">
        <v>36</v>
      </c>
      <c r="B3" s="11"/>
      <c r="C3" s="11"/>
      <c r="D3" s="11"/>
    </row>
    <row r="4" customFormat="false" ht="18" hidden="false" customHeight="true" outlineLevel="0" collapsed="false">
      <c r="A4" s="5" t="s">
        <v>37</v>
      </c>
      <c r="B4" s="12" t="n">
        <v>108000000</v>
      </c>
      <c r="C4" s="12" t="n">
        <v>540000000</v>
      </c>
      <c r="D4" s="12" t="n">
        <v>1980000000</v>
      </c>
      <c r="E4" s="13" t="s">
        <v>38</v>
      </c>
    </row>
    <row r="5" customFormat="false" ht="18" hidden="false" customHeight="true" outlineLevel="0" collapsed="false">
      <c r="A5" s="5" t="s">
        <v>39</v>
      </c>
      <c r="B5" s="12" t="n">
        <v>8100000</v>
      </c>
      <c r="C5" s="12" t="n">
        <v>54000000</v>
      </c>
      <c r="D5" s="12" t="n">
        <v>237600000</v>
      </c>
      <c r="E5" s="13" t="s">
        <v>40</v>
      </c>
    </row>
    <row r="6" customFormat="false" ht="18" hidden="false" customHeight="true" outlineLevel="0" collapsed="false">
      <c r="A6" s="5" t="s">
        <v>41</v>
      </c>
      <c r="B6" s="12" t="n">
        <v>5400000</v>
      </c>
      <c r="C6" s="12" t="n">
        <v>38400000</v>
      </c>
      <c r="D6" s="12" t="n">
        <v>180000000</v>
      </c>
      <c r="E6" s="13" t="s">
        <v>42</v>
      </c>
    </row>
    <row r="7" customFormat="false" ht="18" hidden="false" customHeight="true" outlineLevel="0" collapsed="false">
      <c r="A7" s="5" t="s">
        <v>43</v>
      </c>
      <c r="B7" s="12" t="n">
        <v>1800000</v>
      </c>
      <c r="C7" s="12" t="n">
        <v>18000000</v>
      </c>
      <c r="D7" s="12" t="n">
        <v>72000000</v>
      </c>
      <c r="E7" s="13" t="s">
        <v>44</v>
      </c>
    </row>
    <row r="8" customFormat="false" ht="18" hidden="false" customHeight="true" outlineLevel="0" collapsed="false">
      <c r="A8" s="14" t="s">
        <v>45</v>
      </c>
      <c r="B8" s="15" t="n">
        <f aca="false">B3+B4+B5+B6</f>
        <v>121500000</v>
      </c>
      <c r="C8" s="15" t="n">
        <f aca="false">C3+C4+C5+C6</f>
        <v>632400000</v>
      </c>
      <c r="D8" s="15" t="n">
        <f aca="false">D3+D4+D5+D6</f>
        <v>2397600000</v>
      </c>
    </row>
    <row r="9" customFormat="false" ht="18" hidden="false" customHeight="true" outlineLevel="0" collapsed="false">
      <c r="A9" s="5"/>
      <c r="B9" s="16"/>
      <c r="C9" s="16"/>
      <c r="D9" s="16"/>
    </row>
    <row r="10" customFormat="false" ht="18" hidden="false" customHeight="true" outlineLevel="0" collapsed="false">
      <c r="A10" s="10" t="s">
        <v>46</v>
      </c>
      <c r="B10" s="11"/>
      <c r="C10" s="11"/>
      <c r="D10" s="11"/>
    </row>
    <row r="11" customFormat="false" ht="18" hidden="false" customHeight="true" outlineLevel="0" collapsed="false">
      <c r="A11" s="5" t="s">
        <v>47</v>
      </c>
      <c r="B11" s="12" t="n">
        <v>54000000</v>
      </c>
      <c r="C11" s="12" t="n">
        <v>270000000</v>
      </c>
      <c r="D11" s="12" t="n">
        <v>1069200000</v>
      </c>
      <c r="E11" s="13" t="s">
        <v>48</v>
      </c>
    </row>
    <row r="12" customFormat="false" ht="18" hidden="false" customHeight="true" outlineLevel="0" collapsed="false">
      <c r="A12" s="5" t="s">
        <v>49</v>
      </c>
      <c r="B12" s="12" t="n">
        <v>1050000</v>
      </c>
      <c r="C12" s="12" t="n">
        <v>5250000</v>
      </c>
      <c r="D12" s="12" t="n">
        <v>13125000</v>
      </c>
      <c r="E12" s="13" t="s">
        <v>50</v>
      </c>
    </row>
    <row r="13" customFormat="false" ht="18" hidden="false" customHeight="true" outlineLevel="0" collapsed="false">
      <c r="A13" s="5" t="s">
        <v>51</v>
      </c>
      <c r="B13" s="12" t="n">
        <v>1620000</v>
      </c>
      <c r="C13" s="12" t="n">
        <v>8100000</v>
      </c>
      <c r="D13" s="12" t="n">
        <v>29700000</v>
      </c>
      <c r="E13" s="13" t="s">
        <v>52</v>
      </c>
    </row>
    <row r="14" customFormat="false" ht="18" hidden="false" customHeight="true" outlineLevel="0" collapsed="false">
      <c r="A14" s="14" t="s">
        <v>53</v>
      </c>
      <c r="B14" s="15" t="n">
        <f aca="false">B10+B11+B12</f>
        <v>55050000</v>
      </c>
      <c r="C14" s="15" t="n">
        <f aca="false">C10+C11+C12</f>
        <v>275250000</v>
      </c>
      <c r="D14" s="15" t="n">
        <f aca="false">D10+D11+D12</f>
        <v>1082325000</v>
      </c>
    </row>
    <row r="15" customFormat="false" ht="18" hidden="false" customHeight="true" outlineLevel="0" collapsed="false">
      <c r="A15" s="5"/>
      <c r="B15" s="16"/>
      <c r="C15" s="16"/>
      <c r="D15" s="16"/>
    </row>
    <row r="16" customFormat="false" ht="18" hidden="false" customHeight="true" outlineLevel="0" collapsed="false">
      <c r="A16" s="14" t="s">
        <v>54</v>
      </c>
      <c r="B16" s="15" t="n">
        <f aca="false">B8-B14</f>
        <v>66450000</v>
      </c>
      <c r="C16" s="15" t="n">
        <f aca="false">C8-C14</f>
        <v>357150000</v>
      </c>
      <c r="D16" s="15" t="n">
        <f aca="false">D8-D14</f>
        <v>1315275000</v>
      </c>
    </row>
    <row r="17" customFormat="false" ht="18" hidden="false" customHeight="true" outlineLevel="0" collapsed="false">
      <c r="A17" s="14" t="s">
        <v>55</v>
      </c>
      <c r="B17" s="17" t="n">
        <f aca="false">B16/B8</f>
        <v>0.546913580246914</v>
      </c>
      <c r="C17" s="17" t="n">
        <f aca="false">C16/C8</f>
        <v>0.564753320683112</v>
      </c>
      <c r="D17" s="17" t="n">
        <f aca="false">D16/D8</f>
        <v>0.54857982982983</v>
      </c>
    </row>
    <row r="18" customFormat="false" ht="18" hidden="false" customHeight="true" outlineLevel="0" collapsed="false">
      <c r="A18" s="5"/>
      <c r="B18" s="16"/>
      <c r="C18" s="16"/>
      <c r="D18" s="16"/>
    </row>
    <row r="19" customFormat="false" ht="18" hidden="false" customHeight="true" outlineLevel="0" collapsed="false">
      <c r="A19" s="10" t="s">
        <v>56</v>
      </c>
      <c r="B19" s="11"/>
      <c r="C19" s="11"/>
      <c r="D19" s="11"/>
    </row>
    <row r="20" customFormat="false" ht="18" hidden="false" customHeight="true" outlineLevel="0" collapsed="false">
      <c r="A20" s="5" t="s">
        <v>57</v>
      </c>
      <c r="B20" s="12" t="n">
        <v>1800000</v>
      </c>
      <c r="C20" s="12" t="n">
        <v>4800000</v>
      </c>
      <c r="D20" s="12" t="n">
        <v>10800000</v>
      </c>
    </row>
    <row r="21" customFormat="false" ht="18" hidden="false" customHeight="true" outlineLevel="0" collapsed="false">
      <c r="A21" s="5" t="s">
        <v>58</v>
      </c>
      <c r="B21" s="12" t="n">
        <v>600000</v>
      </c>
      <c r="C21" s="12" t="n">
        <v>1440000</v>
      </c>
      <c r="D21" s="12" t="n">
        <v>3000000</v>
      </c>
    </row>
    <row r="22" customFormat="false" ht="18" hidden="false" customHeight="true" outlineLevel="0" collapsed="false">
      <c r="A22" s="5" t="s">
        <v>59</v>
      </c>
      <c r="B22" s="12" t="n">
        <v>960000</v>
      </c>
      <c r="C22" s="12" t="n">
        <v>2400000</v>
      </c>
      <c r="D22" s="12" t="n">
        <v>4800000</v>
      </c>
    </row>
    <row r="23" customFormat="false" ht="18" hidden="false" customHeight="true" outlineLevel="0" collapsed="false">
      <c r="A23" s="5" t="s">
        <v>60</v>
      </c>
      <c r="B23" s="12" t="n">
        <v>42000000</v>
      </c>
      <c r="C23" s="12" t="n">
        <v>72000000</v>
      </c>
      <c r="D23" s="12" t="n">
        <v>120000000</v>
      </c>
    </row>
    <row r="24" customFormat="false" ht="18" hidden="false" customHeight="true" outlineLevel="0" collapsed="false">
      <c r="A24" s="5" t="s">
        <v>61</v>
      </c>
      <c r="B24" s="12" t="n">
        <v>6000000</v>
      </c>
      <c r="C24" s="12" t="n">
        <v>18000000</v>
      </c>
      <c r="D24" s="12" t="n">
        <v>36000000</v>
      </c>
    </row>
    <row r="25" customFormat="false" ht="18" hidden="false" customHeight="true" outlineLevel="0" collapsed="false">
      <c r="A25" s="5" t="s">
        <v>62</v>
      </c>
      <c r="B25" s="12" t="n">
        <v>2400000</v>
      </c>
      <c r="C25" s="12" t="n">
        <v>3000000</v>
      </c>
      <c r="D25" s="12" t="n">
        <v>3600000</v>
      </c>
    </row>
    <row r="26" customFormat="false" ht="18" hidden="false" customHeight="true" outlineLevel="0" collapsed="false">
      <c r="A26" s="5" t="s">
        <v>63</v>
      </c>
      <c r="B26" s="12" t="n">
        <v>5376000</v>
      </c>
      <c r="C26" s="12" t="n">
        <v>10164000</v>
      </c>
      <c r="D26" s="12" t="n">
        <v>17820000</v>
      </c>
    </row>
    <row r="27" customFormat="false" ht="18" hidden="false" customHeight="true" outlineLevel="0" collapsed="false">
      <c r="A27" s="14" t="s">
        <v>64</v>
      </c>
      <c r="B27" s="15" t="n">
        <f aca="false">SUM(B20:B26)</f>
        <v>59136000</v>
      </c>
      <c r="C27" s="15" t="n">
        <f aca="false">SUM(C20:C26)</f>
        <v>111804000</v>
      </c>
      <c r="D27" s="15" t="n">
        <f aca="false">SUM(D20:D26)</f>
        <v>196020000</v>
      </c>
    </row>
    <row r="28" customFormat="false" ht="18" hidden="false" customHeight="true" outlineLevel="0" collapsed="false">
      <c r="A28" s="5"/>
      <c r="B28" s="16"/>
      <c r="C28" s="16"/>
      <c r="D28" s="16"/>
    </row>
    <row r="29" customFormat="false" ht="18" hidden="false" customHeight="true" outlineLevel="0" collapsed="false">
      <c r="A29" s="14" t="s">
        <v>65</v>
      </c>
      <c r="B29" s="15" t="n">
        <f aca="false">B16-B27</f>
        <v>7314000</v>
      </c>
      <c r="C29" s="15" t="n">
        <f aca="false">C16-C27</f>
        <v>245346000</v>
      </c>
      <c r="D29" s="15" t="n">
        <f aca="false">D16-D27</f>
        <v>1119255000</v>
      </c>
    </row>
    <row r="30" customFormat="false" ht="18" hidden="false" customHeight="true" outlineLevel="0" collapsed="false">
      <c r="A30" s="14" t="s">
        <v>66</v>
      </c>
      <c r="B30" s="17" t="n">
        <f aca="false">B29/B8</f>
        <v>0.0601975308641975</v>
      </c>
      <c r="C30" s="17" t="n">
        <f aca="false">C29/C8</f>
        <v>0.387960151802657</v>
      </c>
      <c r="D30" s="17" t="n">
        <f aca="false">D29/D8</f>
        <v>0.466823073073073</v>
      </c>
    </row>
    <row r="31" customFormat="false" ht="18" hidden="false" customHeight="true" outlineLevel="0" collapsed="false">
      <c r="A31" s="5"/>
      <c r="B31" s="16"/>
      <c r="C31" s="16"/>
      <c r="D31" s="16"/>
    </row>
    <row r="32" customFormat="false" ht="18" hidden="false" customHeight="true" outlineLevel="0" collapsed="false">
      <c r="A32" s="5" t="s">
        <v>67</v>
      </c>
      <c r="B32" s="12" t="n">
        <v>-1500000</v>
      </c>
      <c r="C32" s="12" t="n">
        <v>-2000000</v>
      </c>
      <c r="D32" s="12" t="n">
        <v>-3000000</v>
      </c>
    </row>
    <row r="33" customFormat="false" ht="18" hidden="false" customHeight="true" outlineLevel="0" collapsed="false">
      <c r="A33" s="14" t="s">
        <v>68</v>
      </c>
      <c r="B33" s="15" t="n">
        <f aca="false">B29+B35</f>
        <v>7314000</v>
      </c>
      <c r="C33" s="15" t="n">
        <f aca="false">C29+C35</f>
        <v>245346000</v>
      </c>
      <c r="D33" s="15" t="n">
        <f aca="false">D29+D35</f>
        <v>1119255000</v>
      </c>
    </row>
    <row r="34" customFormat="false" ht="18" hidden="false" customHeight="true" outlineLevel="0" collapsed="false">
      <c r="A34" s="5" t="s">
        <v>69</v>
      </c>
      <c r="B34" s="18" t="n">
        <f aca="false">IF(B37&gt;0,-B37*0.25,0)</f>
        <v>0</v>
      </c>
      <c r="C34" s="18" t="n">
        <f aca="false">IF(C37&gt;0,-C37*0.25,0)</f>
        <v>0</v>
      </c>
      <c r="D34" s="18" t="n">
        <f aca="false">IF(D37&gt;0,-D37*0.25,0)</f>
        <v>0</v>
      </c>
    </row>
    <row r="35" customFormat="false" ht="18" hidden="false" customHeight="true" outlineLevel="0" collapsed="false">
      <c r="A35" s="14" t="s">
        <v>70</v>
      </c>
      <c r="B35" s="15" t="n">
        <f aca="false">B37+B38</f>
        <v>0</v>
      </c>
      <c r="C35" s="15" t="n">
        <f aca="false">C37+C38</f>
        <v>0</v>
      </c>
      <c r="D35" s="15" t="n">
        <f aca="false">D37+D38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6"/>
  </cols>
  <sheetData>
    <row r="1" customFormat="false" ht="27.75" hidden="false" customHeight="true" outlineLevel="0" collapsed="false">
      <c r="A1" s="2" t="s">
        <v>71</v>
      </c>
      <c r="B1" s="2"/>
      <c r="C1" s="2"/>
      <c r="D1" s="2"/>
    </row>
    <row r="2" customFormat="false" ht="15" hidden="false" customHeight="true" outlineLevel="0" collapsed="false">
      <c r="A2" s="9" t="s">
        <v>32</v>
      </c>
      <c r="B2" s="9" t="s">
        <v>33</v>
      </c>
      <c r="C2" s="9" t="s">
        <v>34</v>
      </c>
      <c r="D2" s="9" t="s">
        <v>35</v>
      </c>
    </row>
    <row r="3" customFormat="false" ht="18" hidden="false" customHeight="true" outlineLevel="0" collapsed="false">
      <c r="A3" s="10" t="s">
        <v>72</v>
      </c>
      <c r="B3" s="19"/>
      <c r="C3" s="19"/>
      <c r="D3" s="19"/>
    </row>
    <row r="4" customFormat="false" ht="18" hidden="false" customHeight="true" outlineLevel="0" collapsed="false">
      <c r="A4" s="7" t="s">
        <v>73</v>
      </c>
      <c r="B4" s="20" t="n">
        <v>-12276000</v>
      </c>
      <c r="C4" s="20" t="n">
        <v>75375000</v>
      </c>
      <c r="D4" s="20" t="n">
        <v>539250000</v>
      </c>
    </row>
    <row r="5" customFormat="false" ht="18" hidden="false" customHeight="true" outlineLevel="0" collapsed="false">
      <c r="A5" s="5" t="s">
        <v>74</v>
      </c>
      <c r="B5" s="12" t="n">
        <v>1500000</v>
      </c>
      <c r="C5" s="12" t="n">
        <v>2000000</v>
      </c>
      <c r="D5" s="12" t="n">
        <v>3000000</v>
      </c>
    </row>
    <row r="6" customFormat="false" ht="18" hidden="false" customHeight="true" outlineLevel="0" collapsed="false">
      <c r="A6" s="7" t="s">
        <v>75</v>
      </c>
      <c r="B6" s="20" t="n">
        <v>-5000000</v>
      </c>
      <c r="C6" s="20" t="n">
        <v>-15000000</v>
      </c>
      <c r="D6" s="20" t="n">
        <v>-30000000</v>
      </c>
    </row>
    <row r="7" customFormat="false" ht="18" hidden="false" customHeight="true" outlineLevel="0" collapsed="false">
      <c r="A7" s="14" t="s">
        <v>76</v>
      </c>
      <c r="B7" s="15" t="n">
        <f aca="false">-15776000</f>
        <v>-15776000</v>
      </c>
      <c r="C7" s="15" t="n">
        <f aca="false">62375000</f>
        <v>62375000</v>
      </c>
      <c r="D7" s="15" t="n">
        <f aca="false">512250000</f>
        <v>512250000</v>
      </c>
    </row>
    <row r="8" customFormat="false" ht="18" hidden="false" customHeight="true" outlineLevel="0" collapsed="false">
      <c r="A8" s="7"/>
      <c r="B8" s="20"/>
      <c r="C8" s="20"/>
      <c r="D8" s="20"/>
    </row>
    <row r="9" customFormat="false" ht="18" hidden="false" customHeight="true" outlineLevel="0" collapsed="false">
      <c r="A9" s="10" t="s">
        <v>77</v>
      </c>
      <c r="B9" s="19"/>
      <c r="C9" s="19"/>
      <c r="D9" s="19"/>
    </row>
    <row r="10" customFormat="false" ht="18" hidden="false" customHeight="true" outlineLevel="0" collapsed="false">
      <c r="A10" s="7" t="s">
        <v>78</v>
      </c>
      <c r="B10" s="20" t="s">
        <v>79</v>
      </c>
      <c r="C10" s="20" t="s">
        <v>80</v>
      </c>
      <c r="D10" s="20" t="s">
        <v>81</v>
      </c>
    </row>
    <row r="11" customFormat="false" ht="18" hidden="false" customHeight="true" outlineLevel="0" collapsed="false">
      <c r="A11" s="5" t="s">
        <v>82</v>
      </c>
      <c r="B11" s="12" t="s">
        <v>83</v>
      </c>
      <c r="C11" s="12" t="s">
        <v>84</v>
      </c>
      <c r="D11" s="12" t="s">
        <v>85</v>
      </c>
    </row>
    <row r="12" customFormat="false" ht="18" hidden="false" customHeight="true" outlineLevel="0" collapsed="false">
      <c r="A12" s="14" t="s">
        <v>86</v>
      </c>
      <c r="B12" s="15" t="n">
        <f aca="false">-17000000</f>
        <v>-17000000</v>
      </c>
      <c r="C12" s="15" t="n">
        <f aca="false">-9500000</f>
        <v>-9500000</v>
      </c>
      <c r="D12" s="15" t="n">
        <f aca="false">-6000000</f>
        <v>-6000000</v>
      </c>
    </row>
    <row r="13" customFormat="false" ht="18" hidden="false" customHeight="true" outlineLevel="0" collapsed="false">
      <c r="A13" s="5"/>
      <c r="B13" s="12"/>
      <c r="C13" s="12"/>
      <c r="D13" s="12"/>
    </row>
    <row r="14" customFormat="false" ht="18" hidden="false" customHeight="true" outlineLevel="0" collapsed="false">
      <c r="A14" s="10" t="s">
        <v>87</v>
      </c>
      <c r="B14" s="19"/>
      <c r="C14" s="19"/>
      <c r="D14" s="19"/>
    </row>
    <row r="15" customFormat="false" ht="18" hidden="false" customHeight="true" outlineLevel="0" collapsed="false">
      <c r="A15" s="5" t="s">
        <v>88</v>
      </c>
      <c r="B15" s="12" t="n">
        <v>50000000</v>
      </c>
      <c r="C15" s="12" t="n">
        <v>0</v>
      </c>
      <c r="D15" s="12" t="n">
        <v>0</v>
      </c>
    </row>
    <row r="16" customFormat="false" ht="18" hidden="false" customHeight="true" outlineLevel="0" collapsed="false">
      <c r="A16" s="7" t="s">
        <v>89</v>
      </c>
      <c r="B16" s="20" t="n">
        <v>0</v>
      </c>
      <c r="C16" s="20" t="n">
        <v>0</v>
      </c>
      <c r="D16" s="20" t="n">
        <v>0</v>
      </c>
    </row>
    <row r="17" customFormat="false" ht="18" hidden="false" customHeight="true" outlineLevel="0" collapsed="false">
      <c r="A17" s="14" t="s">
        <v>90</v>
      </c>
      <c r="B17" s="15" t="n">
        <f aca="false">50000000</f>
        <v>50000000</v>
      </c>
      <c r="C17" s="15" t="n">
        <f aca="false">0</f>
        <v>0</v>
      </c>
      <c r="D17" s="15" t="n">
        <f aca="false">0</f>
        <v>0</v>
      </c>
    </row>
    <row r="18" customFormat="false" ht="18" hidden="false" customHeight="true" outlineLevel="0" collapsed="false">
      <c r="A18" s="7"/>
      <c r="B18" s="20"/>
      <c r="C18" s="20"/>
      <c r="D18" s="20"/>
    </row>
    <row r="19" customFormat="false" ht="18" hidden="false" customHeight="true" outlineLevel="0" collapsed="false">
      <c r="A19" s="14" t="s">
        <v>91</v>
      </c>
      <c r="B19" s="15" t="n">
        <f aca="false">17224000</f>
        <v>17224000</v>
      </c>
      <c r="C19" s="15" t="n">
        <f aca="false">52875000</f>
        <v>52875000</v>
      </c>
      <c r="D19" s="15" t="n">
        <f aca="false">506250000</f>
        <v>506250000</v>
      </c>
    </row>
    <row r="20" customFormat="false" ht="18" hidden="false" customHeight="true" outlineLevel="0" collapsed="false">
      <c r="A20" s="14" t="s">
        <v>92</v>
      </c>
      <c r="B20" s="15" t="n">
        <v>0</v>
      </c>
      <c r="C20" s="15" t="n">
        <f aca="false">17224000</f>
        <v>17224000</v>
      </c>
      <c r="D20" s="15" t="n">
        <f aca="false">70099000</f>
        <v>70099000</v>
      </c>
    </row>
    <row r="21" customFormat="false" ht="18" hidden="false" customHeight="true" outlineLevel="0" collapsed="false">
      <c r="A21" s="14" t="s">
        <v>93</v>
      </c>
      <c r="B21" s="15" t="n">
        <f aca="false">17224000</f>
        <v>17224000</v>
      </c>
      <c r="C21" s="15" t="n">
        <f aca="false">70099000</f>
        <v>70099000</v>
      </c>
      <c r="D21" s="15" t="n">
        <f aca="false">576349000</f>
        <v>576349000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4" min="2" style="1" width="18"/>
    <col collapsed="false" customWidth="true" hidden="false" outlineLevel="0" max="5" min="5" style="1" width="20"/>
  </cols>
  <sheetData>
    <row r="1" customFormat="false" ht="27.75" hidden="false" customHeight="true" outlineLevel="0" collapsed="false">
      <c r="A1" s="2" t="s">
        <v>94</v>
      </c>
      <c r="B1" s="2"/>
      <c r="C1" s="2"/>
      <c r="D1" s="2"/>
      <c r="E1" s="2"/>
    </row>
    <row r="2" customFormat="false" ht="21.75" hidden="false" customHeight="true" outlineLevel="0" collapsed="false">
      <c r="A2" s="9" t="s">
        <v>95</v>
      </c>
      <c r="B2" s="9" t="s">
        <v>96</v>
      </c>
      <c r="C2" s="9" t="s">
        <v>97</v>
      </c>
      <c r="D2" s="9" t="s">
        <v>98</v>
      </c>
      <c r="E2" s="9" t="s">
        <v>99</v>
      </c>
    </row>
    <row r="3" customFormat="false" ht="19.5" hidden="false" customHeight="true" outlineLevel="0" collapsed="false">
      <c r="A3" s="10" t="s">
        <v>1</v>
      </c>
      <c r="B3" s="4"/>
      <c r="C3" s="4"/>
      <c r="D3" s="4"/>
      <c r="E3" s="10"/>
    </row>
    <row r="4" customFormat="false" ht="19.5" hidden="false" customHeight="true" outlineLevel="0" collapsed="false">
      <c r="A4" s="7" t="s">
        <v>100</v>
      </c>
      <c r="B4" s="21" t="n">
        <v>5000</v>
      </c>
      <c r="C4" s="21" t="n">
        <v>50000</v>
      </c>
      <c r="D4" s="21" t="n">
        <v>300000</v>
      </c>
      <c r="E4" s="7"/>
    </row>
    <row r="5" customFormat="false" ht="19.5" hidden="false" customHeight="true" outlineLevel="0" collapsed="false">
      <c r="A5" s="5" t="s">
        <v>101</v>
      </c>
      <c r="B5" s="22" t="s">
        <v>102</v>
      </c>
      <c r="C5" s="22" t="s">
        <v>103</v>
      </c>
      <c r="D5" s="22" t="s">
        <v>104</v>
      </c>
      <c r="E5" s="5" t="s">
        <v>105</v>
      </c>
    </row>
    <row r="6" customFormat="false" ht="19.5" hidden="false" customHeight="true" outlineLevel="0" collapsed="false">
      <c r="A6" s="7" t="s">
        <v>106</v>
      </c>
      <c r="B6" s="23" t="s">
        <v>107</v>
      </c>
      <c r="C6" s="23" t="s">
        <v>108</v>
      </c>
      <c r="D6" s="23" t="s">
        <v>109</v>
      </c>
      <c r="E6" s="7"/>
    </row>
    <row r="7" customFormat="false" ht="19.5" hidden="false" customHeight="true" outlineLevel="0" collapsed="false">
      <c r="A7" s="5" t="s">
        <v>110</v>
      </c>
      <c r="B7" s="22" t="s">
        <v>111</v>
      </c>
      <c r="C7" s="22" t="s">
        <v>108</v>
      </c>
      <c r="D7" s="22" t="s">
        <v>109</v>
      </c>
      <c r="E7" s="5"/>
    </row>
    <row r="8" customFormat="false" ht="19.5" hidden="false" customHeight="true" outlineLevel="0" collapsed="false">
      <c r="A8" s="7" t="s">
        <v>112</v>
      </c>
      <c r="B8" s="21" t="n">
        <v>1200</v>
      </c>
      <c r="C8" s="23" t="n">
        <v>800</v>
      </c>
      <c r="D8" s="23" t="n">
        <v>500</v>
      </c>
      <c r="E8" s="7" t="s">
        <v>113</v>
      </c>
    </row>
    <row r="9" customFormat="false" ht="19.5" hidden="false" customHeight="true" outlineLevel="0" collapsed="false">
      <c r="A9" s="10" t="s">
        <v>13</v>
      </c>
      <c r="B9" s="4"/>
      <c r="C9" s="4"/>
      <c r="D9" s="4"/>
      <c r="E9" s="10"/>
    </row>
    <row r="10" customFormat="false" ht="19.5" hidden="false" customHeight="true" outlineLevel="0" collapsed="false">
      <c r="A10" s="7" t="s">
        <v>114</v>
      </c>
      <c r="B10" s="23" t="n">
        <v>50</v>
      </c>
      <c r="C10" s="23" t="n">
        <v>300</v>
      </c>
      <c r="D10" s="23" t="n">
        <v>1000</v>
      </c>
      <c r="E10" s="7"/>
    </row>
    <row r="11" customFormat="false" ht="19.5" hidden="false" customHeight="true" outlineLevel="0" collapsed="false">
      <c r="A11" s="5" t="s">
        <v>15</v>
      </c>
      <c r="B11" s="24" t="n">
        <v>75000</v>
      </c>
      <c r="C11" s="24" t="n">
        <v>100000</v>
      </c>
      <c r="D11" s="24" t="n">
        <v>150000</v>
      </c>
      <c r="E11" s="5"/>
    </row>
    <row r="12" customFormat="false" ht="19.5" hidden="false" customHeight="true" outlineLevel="0" collapsed="false">
      <c r="A12" s="7" t="s">
        <v>115</v>
      </c>
      <c r="B12" s="21" t="n">
        <v>112500</v>
      </c>
      <c r="C12" s="21" t="n">
        <v>200000</v>
      </c>
      <c r="D12" s="21" t="n">
        <v>375000</v>
      </c>
      <c r="E12" s="7"/>
    </row>
    <row r="13" customFormat="false" ht="19.5" hidden="false" customHeight="true" outlineLevel="0" collapsed="false">
      <c r="A13" s="5" t="s">
        <v>116</v>
      </c>
      <c r="B13" s="22" t="s">
        <v>111</v>
      </c>
      <c r="C13" s="22" t="s">
        <v>117</v>
      </c>
      <c r="D13" s="22" t="s">
        <v>109</v>
      </c>
      <c r="E13" s="5"/>
    </row>
    <row r="14" customFormat="false" ht="19.5" hidden="false" customHeight="true" outlineLevel="0" collapsed="false">
      <c r="A14" s="7" t="s">
        <v>118</v>
      </c>
      <c r="B14" s="23" t="n">
        <v>6</v>
      </c>
      <c r="C14" s="23" t="n">
        <v>10</v>
      </c>
      <c r="D14" s="23" t="n">
        <v>15</v>
      </c>
      <c r="E14" s="7" t="s">
        <v>119</v>
      </c>
    </row>
    <row r="15" customFormat="false" ht="19.5" hidden="false" customHeight="true" outlineLevel="0" collapsed="false">
      <c r="A15" s="10" t="s">
        <v>120</v>
      </c>
      <c r="B15" s="4"/>
      <c r="C15" s="4"/>
      <c r="D15" s="4"/>
      <c r="E15" s="10"/>
    </row>
    <row r="16" customFormat="false" ht="19.5" hidden="false" customHeight="true" outlineLevel="0" collapsed="false">
      <c r="A16" s="7" t="s">
        <v>121</v>
      </c>
      <c r="B16" s="23" t="s">
        <v>122</v>
      </c>
      <c r="C16" s="23" t="s">
        <v>123</v>
      </c>
      <c r="D16" s="23" t="s">
        <v>124</v>
      </c>
      <c r="E16" s="7"/>
    </row>
    <row r="17" customFormat="false" ht="19.5" hidden="false" customHeight="true" outlineLevel="0" collapsed="false">
      <c r="A17" s="5" t="s">
        <v>125</v>
      </c>
      <c r="B17" s="22" t="s">
        <v>126</v>
      </c>
      <c r="C17" s="22" t="s">
        <v>127</v>
      </c>
      <c r="D17" s="22" t="s">
        <v>128</v>
      </c>
      <c r="E17" s="5"/>
    </row>
    <row r="18" customFormat="false" ht="19.5" hidden="false" customHeight="true" outlineLevel="0" collapsed="false">
      <c r="A18" s="7" t="s">
        <v>129</v>
      </c>
      <c r="B18" s="23" t="s">
        <v>130</v>
      </c>
      <c r="C18" s="23" t="s">
        <v>131</v>
      </c>
      <c r="D18" s="23" t="s">
        <v>132</v>
      </c>
      <c r="E18" s="7"/>
    </row>
    <row r="19" customFormat="false" ht="19.5" hidden="false" customHeight="true" outlineLevel="0" collapsed="false">
      <c r="A19" s="5" t="s">
        <v>133</v>
      </c>
      <c r="B19" s="22" t="n">
        <v>40</v>
      </c>
      <c r="C19" s="22" t="n">
        <v>60</v>
      </c>
      <c r="D19" s="22" t="n">
        <v>70</v>
      </c>
      <c r="E19" s="5"/>
    </row>
    <row r="20" customFormat="false" ht="19.5" hidden="false" customHeight="true" outlineLevel="0" collapsed="false">
      <c r="A20" s="7" t="s">
        <v>134</v>
      </c>
      <c r="B20" s="23" t="n">
        <v>45</v>
      </c>
      <c r="C20" s="23" t="n">
        <v>65</v>
      </c>
      <c r="D20" s="23" t="n">
        <v>72</v>
      </c>
      <c r="E20" s="7"/>
    </row>
    <row r="21" customFormat="false" ht="19.5" hidden="false" customHeight="true" outlineLevel="0" collapsed="false">
      <c r="A21" s="10" t="s">
        <v>135</v>
      </c>
      <c r="B21" s="4"/>
      <c r="C21" s="4"/>
      <c r="D21" s="4"/>
      <c r="E21" s="10"/>
    </row>
    <row r="22" customFormat="false" ht="19.5" hidden="false" customHeight="true" outlineLevel="0" collapsed="false">
      <c r="A22" s="7" t="s">
        <v>136</v>
      </c>
      <c r="B22" s="21" t="n">
        <v>123300000</v>
      </c>
      <c r="C22" s="21" t="n">
        <v>650400000</v>
      </c>
      <c r="D22" s="21" t="n">
        <v>2469600000</v>
      </c>
      <c r="E22" s="7"/>
    </row>
    <row r="23" customFormat="false" ht="19.5" hidden="false" customHeight="true" outlineLevel="0" collapsed="false">
      <c r="A23" s="5" t="s">
        <v>137</v>
      </c>
      <c r="B23" s="22" t="s">
        <v>138</v>
      </c>
      <c r="C23" s="22" t="s">
        <v>139</v>
      </c>
      <c r="D23" s="22" t="s">
        <v>139</v>
      </c>
      <c r="E23" s="5"/>
    </row>
    <row r="24" customFormat="false" ht="19.5" hidden="false" customHeight="true" outlineLevel="0" collapsed="false">
      <c r="A24" s="7" t="s">
        <v>140</v>
      </c>
      <c r="B24" s="23" t="n">
        <v>-14276000</v>
      </c>
      <c r="C24" s="21" t="n">
        <v>77375000</v>
      </c>
      <c r="D24" s="21" t="n">
        <v>542250000</v>
      </c>
      <c r="E24" s="7"/>
    </row>
    <row r="25" customFormat="false" ht="19.5" hidden="false" customHeight="true" outlineLevel="0" collapsed="false">
      <c r="A25" s="5" t="s">
        <v>66</v>
      </c>
      <c r="B25" s="22" t="s">
        <v>141</v>
      </c>
      <c r="C25" s="22" t="s">
        <v>142</v>
      </c>
      <c r="D25" s="22" t="s">
        <v>143</v>
      </c>
      <c r="E25" s="5"/>
    </row>
    <row r="26" customFormat="false" ht="19.5" hidden="false" customHeight="true" outlineLevel="0" collapsed="false">
      <c r="A26" s="7" t="s">
        <v>144</v>
      </c>
      <c r="B26" s="21" t="n">
        <v>12500000</v>
      </c>
      <c r="C26" s="23" t="s">
        <v>145</v>
      </c>
      <c r="D26" s="23"/>
      <c r="E26" s="7"/>
    </row>
    <row r="27" customFormat="false" ht="19.5" hidden="false" customHeight="true" outlineLevel="0" collapsed="false">
      <c r="A27" s="5" t="s">
        <v>146</v>
      </c>
      <c r="B27" s="24" t="n">
        <v>17224000</v>
      </c>
      <c r="C27" s="24" t="n">
        <v>70099000</v>
      </c>
      <c r="D27" s="24" t="n">
        <v>576349000</v>
      </c>
      <c r="E27" s="5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2026-03-15T16:26:02Z</dcterms:created>
  <dc:creator>openpyxl</dc:creator>
  <dc:description/>
  <dc:language>en-US</dc:language>
  <cp:lastModifiedBy/>
  <dcterms:modified xsi:type="dcterms:W3CDTF">2026-03-15T16:27:04Z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