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Backlog" sheetId="2" state="visible" r:id="rId4"/>
    <sheet name="🗓️ Sprint Planning" sheetId="3" state="visible" r:id="rId5"/>
    <sheet name="✅ Definition of Done" sheetId="4" state="visible" r:id="rId6"/>
  </sheets>
  <definedNames>
    <definedName function="false" hidden="true" localSheetId="1" name="_xlnm._FilterDatabase" vbProcedure="false">'📋 Backlog'!$A$1:$K$1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<sst xmlns="http://schemas.openxmlformats.org/spreadsheetml/2006/main" count="978" uniqueCount="565">
  <si>
    <t xml:space="preserve">oon.click — Backlog Complet · Product Backlog v1.0</t>
  </si>
  <si>
    <t xml:space="preserve">TOTAL STORIES</t>
  </si>
  <si>
    <t xml:space="preserve">HIGH PRIORITY</t>
  </si>
  <si>
    <t xml:space="preserve">STORY POINTS</t>
  </si>
  <si>
    <t xml:space="preserve">SPRINTS</t>
  </si>
  <si>
    <t xml:space="preserve">9</t>
  </si>
  <si>
    <t xml:space="preserve">DOMAINES</t>
  </si>
  <si>
    <t xml:space="preserve">14</t>
  </si>
  <si>
    <t xml:space="preserve">SYNTHÈSE PAR DOMAINE</t>
  </si>
  <si>
    <t xml:space="preserve">Domaine</t>
  </si>
  <si>
    <t xml:space="preserve">Nb Stories</t>
  </si>
  <si>
    <t xml:space="preserve">HIGH</t>
  </si>
  <si>
    <t xml:space="preserve">MEDIUM</t>
  </si>
  <si>
    <t xml:space="preserve">LOW</t>
  </si>
  <si>
    <t xml:space="preserve">Points Totaux</t>
  </si>
  <si>
    <t xml:space="preserve">Sprint(s)</t>
  </si>
  <si>
    <t xml:space="preserve">🎮 Gamification &amp; Engagement</t>
  </si>
  <si>
    <t xml:space="preserve">1-2</t>
  </si>
  <si>
    <t xml:space="preserve">🌐 Social &amp; Viralité</t>
  </si>
  <si>
    <t xml:space="preserve">3</t>
  </si>
  <si>
    <t xml:space="preserve">📊 Outils Annonceur Avancés</t>
  </si>
  <si>
    <t xml:space="preserve">4-5</t>
  </si>
  <si>
    <t xml:space="preserve">✨ Formats Publicitaires</t>
  </si>
  <si>
    <t xml:space="preserve">4</t>
  </si>
  <si>
    <t xml:space="preserve">🛡️ Confiance &amp; Conformité</t>
  </si>
  <si>
    <t xml:space="preserve">2-3</t>
  </si>
  <si>
    <t xml:space="preserve">🧠 Intelligence &amp; Analytics</t>
  </si>
  <si>
    <t xml:space="preserve">6-7</t>
  </si>
  <si>
    <t xml:space="preserve">🚀 Écosystème &amp; Expansion</t>
  </si>
  <si>
    <t xml:space="preserve">📱 Expérience Mobile</t>
  </si>
  <si>
    <t xml:space="preserve">3-4</t>
  </si>
  <si>
    <t xml:space="preserve">🎪 Événementiel &amp; Saisonnier</t>
  </si>
  <si>
    <t xml:space="preserve">7</t>
  </si>
  <si>
    <t xml:space="preserve">🤝 Partenariats &amp; Intégrations</t>
  </si>
  <si>
    <t xml:space="preserve">8</t>
  </si>
  <si>
    <t xml:space="preserve">🎓 Learn &amp; Earn</t>
  </si>
  <si>
    <t xml:space="preserve">7-8</t>
  </si>
  <si>
    <t xml:space="preserve">🛠️ Micro-Annonceurs Self-Serve</t>
  </si>
  <si>
    <t xml:space="preserve">5</t>
  </si>
  <si>
    <t xml:space="preserve">💬 Support &amp; Expérience</t>
  </si>
  <si>
    <t xml:space="preserve">6</t>
  </si>
  <si>
    <t xml:space="preserve">🌍 Diaspora &amp; International</t>
  </si>
  <si>
    <t xml:space="preserve">ID</t>
  </si>
  <si>
    <t xml:space="preserve">EPIC / DOMAINE</t>
  </si>
  <si>
    <t xml:space="preserve">MODULE</t>
  </si>
  <si>
    <t xml:space="preserve">USER STORY</t>
  </si>
  <si>
    <t xml:space="preserve">PRIORITÉ</t>
  </si>
  <si>
    <t xml:space="preserve">CRITÈRES D'ACCEPTATION</t>
  </si>
  <si>
    <t xml:space="preserve">DÉPENDANCES</t>
  </si>
  <si>
    <t xml:space="preserve">SPRINT</t>
  </si>
  <si>
    <t xml:space="preserve">STATUT</t>
  </si>
  <si>
    <t xml:space="preserve">NOTES TECH</t>
  </si>
  <si>
    <t xml:space="preserve">US-001</t>
  </si>
  <si>
    <t xml:space="preserve">🎮 Gamification</t>
  </si>
  <si>
    <t xml:space="preserve">Niveaux</t>
  </si>
  <si>
    <t xml:space="preserve">En tant qu'abonné, j'ai un niveau (Explorateur→Élite) qui augmente selon mes FCFA cumulés</t>
  </si>
  <si>
    <t xml:space="preserve">Niveau affiché dans profil ; passage de niveau notifié ; taux de rémunération augmenté selon le niveau</t>
  </si>
  <si>
    <t xml:space="preserve">—</t>
  </si>
  <si>
    <t xml:space="preserve">Sprint 1</t>
  </si>
  <si>
    <t xml:space="preserve">À FAIRE</t>
  </si>
  <si>
    <t xml:space="preserve">Calcul niveau en temps réel depuis le wallet</t>
  </si>
  <si>
    <t xml:space="preserve">US-002</t>
  </si>
  <si>
    <t xml:space="preserve">En tant qu'abonné, mon taux de rémunération est majoré selon mon niveau (+10%/+20%/+30%)</t>
  </si>
  <si>
    <t xml:space="preserve">Multiplicateur appliqué à chaque crédit pub ; configurable en admin</t>
  </si>
  <si>
    <t xml:space="preserve">Multiplicateur stocké dans platform_config</t>
  </si>
  <si>
    <t xml:space="preserve">US-003</t>
  </si>
  <si>
    <t xml:space="preserve">Streaks</t>
  </si>
  <si>
    <t xml:space="preserve">En tant qu'abonné, je maintiens un streak quotidien si je visionne ≥1 pub/jour</t>
  </si>
  <si>
    <t xml:space="preserve">Streak affiché avec flamme ; reset à minuit ; streak brisé si aucune vue</t>
  </si>
  <si>
    <t xml:space="preserve">Sprint 2</t>
  </si>
  <si>
    <t xml:space="preserve">Job cron minuit pour reset</t>
  </si>
  <si>
    <t xml:space="preserve">US-004</t>
  </si>
  <si>
    <t xml:space="preserve">En tant qu'abonné, je reçois un bonus FCFA pour les streaks de 7 et 30 jours</t>
  </si>
  <si>
    <t xml:space="preserve">Bonus 200 FCFA à J7 ; bonus 1000 FCFA à J30 ; crédit automatique</t>
  </si>
  <si>
    <t xml:space="preserve">Configurable en admin</t>
  </si>
  <si>
    <t xml:space="preserve">US-005</t>
  </si>
  <si>
    <t xml:space="preserve">Défis</t>
  </si>
  <si>
    <t xml:space="preserve">En tant qu'abonné, je peux accomplir un défi hebdomadaire pour un bonus</t>
  </si>
  <si>
    <t xml:space="preserve">Défi visible dans l'app ; progression en temps réel ; récompense créditée à l'accomplissement</t>
  </si>
  <si>
    <t xml:space="preserve">Admin crée les défis</t>
  </si>
  <si>
    <t xml:space="preserve">US-006</t>
  </si>
  <si>
    <t xml:space="preserve">Badges</t>
  </si>
  <si>
    <t xml:space="preserve">En tant qu'abonné, je reçois des badges automatiques selon mes actions</t>
  </si>
  <si>
    <t xml:space="preserve">Badges attribués via triggers définis en admin ; galerie visible sur mon profil</t>
  </si>
  <si>
    <t xml:space="preserve">Sprint 3</t>
  </si>
  <si>
    <t xml:space="preserve">JSON triggers en DB</t>
  </si>
  <si>
    <t xml:space="preserve">US-007</t>
  </si>
  <si>
    <t xml:space="preserve">Leaderboard</t>
  </si>
  <si>
    <t xml:space="preserve">En tant qu'abonné, je vois le classement des meilleurs abonnés de ma ville</t>
  </si>
  <si>
    <t xml:space="preserve">Top 10 par ville ; actualisé toutes les heures ; récompenses Top 3 mensuel</t>
  </si>
  <si>
    <t xml:space="preserve">Cache Redis 1h</t>
  </si>
  <si>
    <t xml:space="preserve">US-008</t>
  </si>
  <si>
    <t xml:space="preserve">Scratch</t>
  </si>
  <si>
    <t xml:space="preserve">En tant qu'abonné, je peux gratter une pub mystère pour un bonus surprise</t>
  </si>
  <si>
    <t xml:space="preserve">Animation de grattage ; montant révélé aléatoire 20-500 FCFA ; crédité immédiatement</t>
  </si>
  <si>
    <t xml:space="preserve">Sprint 4</t>
  </si>
  <si>
    <t xml:space="preserve">Canvas Flutter pour animation</t>
  </si>
  <si>
    <t xml:space="preserve">US-009</t>
  </si>
  <si>
    <t xml:space="preserve">Mission Board</t>
  </si>
  <si>
    <t xml:space="preserve">En tant qu'abonné, j'ai accès à un tableau de missions hebdomadaires</t>
  </si>
  <si>
    <t xml:space="preserve">Max 5 missions actives ; types variés ; renouvelées chaque lundi ; récompense à l'accomplissement</t>
  </si>
  <si>
    <t xml:space="preserve">Admin configure les missions</t>
  </si>
  <si>
    <t xml:space="preserve">US-010</t>
  </si>
  <si>
    <t xml:space="preserve">🌐 Social</t>
  </si>
  <si>
    <t xml:space="preserve">Parrainage</t>
  </si>
  <si>
    <t xml:space="preserve">En tant qu'abonné, j'ai un code de parrainage unique que je partage</t>
  </si>
  <si>
    <t xml:space="preserve">Code unique généré à l'inscription ; lien traqué ; +300 FCFA quand filleul complète son profil</t>
  </si>
  <si>
    <t xml:space="preserve">Table referrals avec tracking</t>
  </si>
  <si>
    <t xml:space="preserve">US-011</t>
  </si>
  <si>
    <t xml:space="preserve">En tant qu'abonné, je consulte mon dashboard de parrainage</t>
  </si>
  <si>
    <t xml:space="preserve">Nb filleuls, gains générés, conversions ; niveau Bronze/Silver/Gold affiché</t>
  </si>
  <si>
    <t xml:space="preserve">Dashboard dédié in-app</t>
  </si>
  <si>
    <t xml:space="preserve">US-012</t>
  </si>
  <si>
    <t xml:space="preserve">Partage</t>
  </si>
  <si>
    <t xml:space="preserve">En tant qu'abonné, je peux partager une pub sur WhatsApp/Facebook/X</t>
  </si>
  <si>
    <t xml:space="preserve">Bouton partage sur chaque pub ; lien traqué unique par abonné+pub ; +150 FCFA si inscription</t>
  </si>
  <si>
    <t xml:space="preserve">Deep link traqué</t>
  </si>
  <si>
    <t xml:space="preserve">US-013</t>
  </si>
  <si>
    <t xml:space="preserve">Profil</t>
  </si>
  <si>
    <t xml:space="preserve">En tant qu'abonné, j'ai une page profil publique avec mon OON Score</t>
  </si>
  <si>
    <t xml:space="preserve">Page publique opt-in ; badges, niveau, ancienneté visibles ; URL unique oon.click/@pseudo</t>
  </si>
  <si>
    <t xml:space="preserve">Sprint 6</t>
  </si>
  <si>
    <t xml:space="preserve">Opt-in dans les paramètres</t>
  </si>
  <si>
    <t xml:space="preserve">US-014</t>
  </si>
  <si>
    <t xml:space="preserve">Cercles</t>
  </si>
  <si>
    <t xml:space="preserve">En tant qu'abonné, je rejoins ou crée un cercle thématique</t>
  </si>
  <si>
    <t xml:space="preserve">Cercles max 1000 membres ; animateur avec rôle spécial ; annonceur peut cibler un cercle</t>
  </si>
  <si>
    <t xml:space="preserve">Sprint 5</t>
  </si>
  <si>
    <t xml:space="preserve">Nouvelle table circles</t>
  </si>
  <si>
    <t xml:space="preserve">US-015</t>
  </si>
  <si>
    <t xml:space="preserve">📊 Annonceur</t>
  </si>
  <si>
    <t xml:space="preserve">Campagne</t>
  </si>
  <si>
    <t xml:space="preserve">En tant qu'annonceur, je crée une campagne avec tous les critères de ciblage</t>
  </si>
  <si>
    <t xml:space="preserve">Formulaire complet ; 4 types médias ; critères multi-dimensionnels ; calcul reach temps réel</t>
  </si>
  <si>
    <t xml:space="preserve">campaign-service + targeting-engine</t>
  </si>
  <si>
    <t xml:space="preserve">US-016</t>
  </si>
  <si>
    <t xml:space="preserve">En tant qu'annonceur, je vois le reach estimé et le coût total avant paiement</t>
  </si>
  <si>
    <t xml:space="preserve">Mise à jour dynamique au changement de critères ; alerte si &lt;100 abonnés matchés</t>
  </si>
  <si>
    <t xml:space="preserve">API /campaigns/estimate</t>
  </si>
  <si>
    <t xml:space="preserve">US-017</t>
  </si>
  <si>
    <t xml:space="preserve">A/B Test</t>
  </si>
  <si>
    <t xml:space="preserve">En tant qu'annonceur, je crée 2 variantes A/B d'une campagne</t>
  </si>
  <si>
    <t xml:space="preserve">Upload 2 médias différents ; distribution 50/50 automatique ; rapport comparatif en fin</t>
  </si>
  <si>
    <t xml:space="preserve">flag is_ab_test dans campaigns</t>
  </si>
  <si>
    <t xml:space="preserve">US-018</t>
  </si>
  <si>
    <t xml:space="preserve">Lookalike</t>
  </si>
  <si>
    <t xml:space="preserve">En tant qu'annonceur, j'importe une liste clients pour cibler des audiences similaires</t>
  </si>
  <si>
    <t xml:space="preserve">Upload CSV email/phone ; algo similarité vectorielle ; portée estimée affichée</t>
  </si>
  <si>
    <t xml:space="preserve">ML service Python</t>
  </si>
  <si>
    <t xml:space="preserve">US-019</t>
  </si>
  <si>
    <t xml:space="preserve">Retargeting</t>
  </si>
  <si>
    <t xml:space="preserve">En tant qu'annonceur, je crée une campagne ciblant les viewers d'une campagne précédente</t>
  </si>
  <si>
    <t xml:space="preserve">Sélection de la campagne source ; options : 'a vu' ou 'n'a pas vu' ; coût standard</t>
  </si>
  <si>
    <t xml:space="preserve">Query sur campaign_targets</t>
  </si>
  <si>
    <t xml:space="preserve">US-020</t>
  </si>
  <si>
    <t xml:space="preserve">Boost</t>
  </si>
  <si>
    <t xml:space="preserve">En tant qu'annonceur, je booste une campagne active en ajoutant du budget</t>
  </si>
  <si>
    <t xml:space="preserve">Bouton Boost sur campagne active ; +500/1000 abonnés ou mode urgent 24h ; paiement immédiat</t>
  </si>
  <si>
    <t xml:space="preserve">API /campaigns/{id}/boost</t>
  </si>
  <si>
    <t xml:space="preserve">US-021</t>
  </si>
  <si>
    <t xml:space="preserve">Templates</t>
  </si>
  <si>
    <t xml:space="preserve">En tant qu'annonceur, j'utilise la bibliothèque de templates publicitaires</t>
  </si>
  <si>
    <t xml:space="preserve">50+ templates catégorisés ; éditeur drag-and-drop ; export direct vers création campagne</t>
  </si>
  <si>
    <t xml:space="preserve">Sprint 7</t>
  </si>
  <si>
    <t xml:space="preserve">Éditeur Flutter léger</t>
  </si>
  <si>
    <t xml:space="preserve">US-022</t>
  </si>
  <si>
    <t xml:space="preserve">✨ Formats</t>
  </si>
  <si>
    <t xml:space="preserve">Interactif</t>
  </si>
  <si>
    <t xml:space="preserve">En tant qu'annonceur, j'ajoute un sondage à ma pub</t>
  </si>
  <si>
    <t xml:space="preserve">1-3 questions post-vue ; QCM, notation, texte ; rapport réponses en temps réel ; +30 FCFA/abonné</t>
  </si>
  <si>
    <t xml:space="preserve">Module sondage post-delivery</t>
  </si>
  <si>
    <t xml:space="preserve">US-023</t>
  </si>
  <si>
    <t xml:space="preserve">Countdown</t>
  </si>
  <si>
    <t xml:space="preserve">En tant qu'annonceur, je crée une pub avec compte à rebours</t>
  </si>
  <si>
    <t xml:space="preserve">Horloge animée sur le visuel ; durée configurable ; CTA vers URL externe avec tracking UTM</t>
  </si>
  <si>
    <t xml:space="preserve">Composant countdown Flutter</t>
  </si>
  <si>
    <t xml:space="preserve">US-024</t>
  </si>
  <si>
    <t xml:space="preserve">Série</t>
  </si>
  <si>
    <t xml:space="preserve">En tant qu'annonceur, je crée une série de pubs en épisodes séquentiels</t>
  </si>
  <si>
    <t xml:space="preserve">3-5 épisodes planifiés sur plusieurs jours ; l'abonné reçoit les épisodes dans l'ordre</t>
  </si>
  <si>
    <t xml:space="preserve">Table episode_sequences</t>
  </si>
  <si>
    <t xml:space="preserve">US-025</t>
  </si>
  <si>
    <t xml:space="preserve">Audio</t>
  </si>
  <si>
    <t xml:space="preserve">En tant qu'abonné, j'écoute une pub audio en background</t>
  </si>
  <si>
    <t xml:space="preserve">Lecture audio même app minimisée ; notif lock-screen ; crédit après 30s d'écoute continue</t>
  </si>
  <si>
    <t xml:space="preserve">Flutter background audio plugin</t>
  </si>
  <si>
    <t xml:space="preserve">US-026</t>
  </si>
  <si>
    <t xml:space="preserve">Géoloc</t>
  </si>
  <si>
    <t xml:space="preserve">En tant qu'annonceur, je cible les abonnés dans un rayon géographique</t>
  </si>
  <si>
    <t xml:space="preserve">Saisie adresse + rayon en km ; CTA vers Google Maps ; distance affichée à l'abonné</t>
  </si>
  <si>
    <t xml:space="preserve">PostGIS ou calcul haversine</t>
  </si>
  <si>
    <t xml:space="preserve">US-027</t>
  </si>
  <si>
    <t xml:space="preserve">AR</t>
  </si>
  <si>
    <t xml:space="preserve">En tant qu'annonceur, je crée une pub en réalité augmentée</t>
  </si>
  <si>
    <t xml:space="preserve">WebAR via Flutter WebView ; upload modèle 3D ; rémunération doublée</t>
  </si>
  <si>
    <t xml:space="preserve">Sprint 9</t>
  </si>
  <si>
    <t xml:space="preserve">WebAR library POC requis</t>
  </si>
  <si>
    <t xml:space="preserve">US-028</t>
  </si>
  <si>
    <t xml:space="preserve">🛡️ Confiance</t>
  </si>
  <si>
    <t xml:space="preserve">Trust Score</t>
  </si>
  <si>
    <t xml:space="preserve">En tant que plateforme, je calcule un Trust Score pour chaque abonné</t>
  </si>
  <si>
    <t xml:space="preserve">Score 0-100 quotidien ; &lt;40 accès limité ; &lt;20 suspension auto ; transparent pour l'abonné</t>
  </si>
  <si>
    <t xml:space="preserve">trust-service dédié</t>
  </si>
  <si>
    <t xml:space="preserve">US-029</t>
  </si>
  <si>
    <t xml:space="preserve">Modération</t>
  </si>
  <si>
    <t xml:space="preserve">En tant qu'admin, les contenus publicitaires sont modérés automatiquement avant publication</t>
  </si>
  <si>
    <t xml:space="preserve">Scan AWS Rekognition ; détection nudité/violence/arnaque ; escalade humaine si ambigu</t>
  </si>
  <si>
    <t xml:space="preserve">Webhook modération + queue</t>
  </si>
  <si>
    <t xml:space="preserve">US-030</t>
  </si>
  <si>
    <t xml:space="preserve">Signalement</t>
  </si>
  <si>
    <t xml:space="preserve">En tant qu'abonné, je peux signaler une pub inappropriée</t>
  </si>
  <si>
    <t xml:space="preserve">Bouton signaler + catégories ; suspension auto si &gt;10% signalements ; alerte admin</t>
  </si>
  <si>
    <t xml:space="preserve">Table reports avec threshold</t>
  </si>
  <si>
    <t xml:space="preserve">US-031</t>
  </si>
  <si>
    <t xml:space="preserve">Préférences</t>
  </si>
  <si>
    <t xml:space="preserve">En tant qu'abonné, je gère les catégories de pubs que je souhaite recevoir</t>
  </si>
  <si>
    <t xml:space="preserve">Catégories activer/désactiver ; prises en compte dans le matching ; droit de retrait total</t>
  </si>
  <si>
    <t xml:space="preserve">JSONB preferences dans subscriber_profiles</t>
  </si>
  <si>
    <t xml:space="preserve">US-032</t>
  </si>
  <si>
    <t xml:space="preserve">KYC</t>
  </si>
  <si>
    <t xml:space="preserve">En tant qu'abonné, je complète mon KYC progressivement selon mes montants de retrait</t>
  </si>
  <si>
    <t xml:space="preserve">3 niveaux (OTP/CNI/Complet) ; déblocage de plafonds progressif ; conformité BCEAO</t>
  </si>
  <si>
    <t xml:space="preserve">Workflow KYC avec upload doc</t>
  </si>
  <si>
    <t xml:space="preserve">US-033</t>
  </si>
  <si>
    <t xml:space="preserve">Charte</t>
  </si>
  <si>
    <t xml:space="preserve">En tant qu'annonceur, je suis guidé par la charte publicitaire lors de la création</t>
  </si>
  <si>
    <t xml:space="preserve">Secteurs interdits bloqués à la soumission ; avertissements pour secteurs restreints</t>
  </si>
  <si>
    <t xml:space="preserve">Liste noire en platform_config</t>
  </si>
  <si>
    <t xml:space="preserve">US-034</t>
  </si>
  <si>
    <t xml:space="preserve">🧠 Intelligence</t>
  </si>
  <si>
    <t xml:space="preserve">Smart Push</t>
  </si>
  <si>
    <t xml:space="preserve">En tant qu'abonné, je reçois les notifications aux moments où je suis le plus disponible</t>
  </si>
  <si>
    <t xml:space="preserve">Analyse horaires d'ouverture des 30 dernières pubs ; score disponibilité par tranche horaire</t>
  </si>
  <si>
    <t xml:space="preserve">Service ML Python + scheduler</t>
  </si>
  <si>
    <t xml:space="preserve">US-035</t>
  </si>
  <si>
    <t xml:space="preserve">BI Annonceur</t>
  </si>
  <si>
    <t xml:space="preserve">En tant qu'annonceur, j'accède à un dashboard analytique post-campagne</t>
  </si>
  <si>
    <t xml:space="preserve">Démographie viewers, courbe engagement, taux complétion, benchmark secteur ; export PDF</t>
  </si>
  <si>
    <t xml:space="preserve">Reporting pipeline + PDF</t>
  </si>
  <si>
    <t xml:space="preserve">US-036</t>
  </si>
  <si>
    <t xml:space="preserve">Reco IA</t>
  </si>
  <si>
    <t xml:space="preserve">En tant qu'annonceur, je reçois des recommandations IA pour améliorer mes campagnes</t>
  </si>
  <si>
    <t xml:space="preserve">Suggestions contextuelles basées sur les historiques ; affichées dans le dashboard</t>
  </si>
  <si>
    <t xml:space="preserve">Moteur règles + ML</t>
  </si>
  <si>
    <t xml:space="preserve">US-037</t>
  </si>
  <si>
    <t xml:space="preserve">Heatmap</t>
  </si>
  <si>
    <t xml:space="preserve">En tant qu'annonceur, je consulte une carte de chaleur des abonnés pour choisir ma géographie</t>
  </si>
  <si>
    <t xml:space="preserve">Heatmap interactive par commune ; filtrable démographiquement ; données anonymisées</t>
  </si>
  <si>
    <t xml:space="preserve">Leaflet.js + données agrégées</t>
  </si>
  <si>
    <t xml:space="preserve">US-038</t>
  </si>
  <si>
    <t xml:space="preserve">Ad Score</t>
  </si>
  <si>
    <t xml:space="preserve">En tant qu'annonceur, ma pub reçoit un score de pertinence 24h après le lancement</t>
  </si>
  <si>
    <t xml:space="preserve">Score 0-100 ; alerte si &lt;40 avec suggestions ; mise en avant si &gt;80</t>
  </si>
  <si>
    <t xml:space="preserve">Calcul basé sur vues/notes/signalements</t>
  </si>
  <si>
    <t xml:space="preserve">US-039</t>
  </si>
  <si>
    <t xml:space="preserve">Churn</t>
  </si>
  <si>
    <t xml:space="preserve">En tant que plateforme, je détecte les abonnés sur le point de churner et les réactive</t>
  </si>
  <si>
    <t xml:space="preserve">Inactivité &gt;7j détectée ; push réactivation avec bonus configurable ; rapport mensuel</t>
  </si>
  <si>
    <t xml:space="preserve">Score churn quotidien par abonné</t>
  </si>
  <si>
    <t xml:space="preserve">US-040</t>
  </si>
  <si>
    <t xml:space="preserve">🚀 Écosystème</t>
  </si>
  <si>
    <t xml:space="preserve">API</t>
  </si>
  <si>
    <t xml:space="preserve">En tant que développeur annonceur, j'accède à une API publique pour gérer mes campagnes</t>
  </si>
  <si>
    <t xml:space="preserve">REST API authentifiée ; CRUD campagnes ; webhooks temps réel ; doc Swagger/OpenAPI</t>
  </si>
  <si>
    <t xml:space="preserve">Sprint 8</t>
  </si>
  <si>
    <t xml:space="preserve">API Gateway + rate limiting</t>
  </si>
  <si>
    <t xml:space="preserve">US-041</t>
  </si>
  <si>
    <t xml:space="preserve">Business</t>
  </si>
  <si>
    <t xml:space="preserve">En tant qu'agence, je gère plusieurs comptes annonceurs depuis un tableau de bord unifié</t>
  </si>
  <si>
    <t xml:space="preserve">Dashboard maître consolidé ; gestion droits équipe ; facturation centralisée</t>
  </si>
  <si>
    <t xml:space="preserve">Rôle AGENCY + multi-tenant léger</t>
  </si>
  <si>
    <t xml:space="preserve">US-042</t>
  </si>
  <si>
    <t xml:space="preserve">SDK</t>
  </si>
  <si>
    <t xml:space="preserve">En tant que développeur, j'intègre le SDK oon.click dans mon app pour diffuser des pubs</t>
  </si>
  <si>
    <t xml:space="preserve">SDK Flutter/Android &lt; 2MB ; partage revenus 60/40 ; dashboard partenaire</t>
  </si>
  <si>
    <t xml:space="preserve">SDK séparé du projet principal</t>
  </si>
  <si>
    <t xml:space="preserve">US-043</t>
  </si>
  <si>
    <t xml:space="preserve">White-Label</t>
  </si>
  <si>
    <t xml:space="preserve">En tant qu'opérateur tiers, je déploie une version white-label de oon.click</t>
  </si>
  <si>
    <t xml:space="preserve">Architecture multi-tenant ; config par tenant (monnaie, branding, tarifs)</t>
  </si>
  <si>
    <t xml:space="preserve">Fonctionnalité V2+</t>
  </si>
  <si>
    <t xml:space="preserve">US-044</t>
  </si>
  <si>
    <t xml:space="preserve">B2B2C</t>
  </si>
  <si>
    <t xml:space="preserve">En tant qu'entreprise, je peux inscrire mes employés/membres en masse via oon.click</t>
  </si>
  <si>
    <t xml:space="preserve">Espace Partenaire Recruteur ; lien d'invitation groupé ; dashboard inscriptions</t>
  </si>
  <si>
    <t xml:space="preserve">Nouvelle table partner_recruiters</t>
  </si>
  <si>
    <t xml:space="preserve">US-045</t>
  </si>
  <si>
    <t xml:space="preserve">📱 Mobile</t>
  </si>
  <si>
    <t xml:space="preserve">Offline</t>
  </si>
  <si>
    <t xml:space="preserve">En tant qu'abonné, je peux visionner des pubs téléchargées sans connexion internet</t>
  </si>
  <si>
    <t xml:space="preserve">Pré-téléchargement auto en Wi-Fi ; visionnage hors-ligne ; crédit synchronisé à la reconnexion</t>
  </si>
  <si>
    <t xml:space="preserve">Flutter offline queue + sync</t>
  </si>
  <si>
    <t xml:space="preserve">US-046</t>
  </si>
  <si>
    <t xml:space="preserve">Data</t>
  </si>
  <si>
    <t xml:space="preserve">En tant qu'abonné, j'active le mode ultra-économie de data</t>
  </si>
  <si>
    <t xml:space="preserve">Pubs texte/audio uniquement ; images compressées ; vidéos désactivées ; détection 2G auto</t>
  </si>
  <si>
    <t xml:space="preserve">Flag data_saver dans profil</t>
  </si>
  <si>
    <t xml:space="preserve">US-047</t>
  </si>
  <si>
    <t xml:space="preserve">Lite</t>
  </si>
  <si>
    <t xml:space="preserve">En tant qu'abonné sans smartphone haut de gamme, j'utilise l'app Lite &lt;10MB</t>
  </si>
  <si>
    <t xml:space="preserve">Build Flutter allégé ; fonctionnalités essentielles ; Android 6+ / 1GB RAM</t>
  </si>
  <si>
    <t xml:space="preserve">Build flavor Flutter Lite</t>
  </si>
  <si>
    <t xml:space="preserve">US-048</t>
  </si>
  <si>
    <t xml:space="preserve">Notifs</t>
  </si>
  <si>
    <t xml:space="preserve">En tant qu'abonné, je configure mes plages horaires et fréquence de notifications</t>
  </si>
  <si>
    <t xml:space="preserve">Heures DND configurables ; max notifs/jour ; types de notifs à activer/désactiver</t>
  </si>
  <si>
    <t xml:space="preserve">notification_prefs en DB</t>
  </si>
  <si>
    <t xml:space="preserve">US-049</t>
  </si>
  <si>
    <t xml:space="preserve">A11Y</t>
  </si>
  <si>
    <t xml:space="preserve">En tant qu'abonné malvoyant, l'app est compatible TalkBack/VoiceOver</t>
  </si>
  <si>
    <t xml:space="preserve">Audit WCAG 2.1 AA ; labels accessibilité ; sous-titres vidéos ; contraste conforme</t>
  </si>
  <si>
    <t xml:space="preserve">Audit accessibilité Flutter</t>
  </si>
  <si>
    <t xml:space="preserve">US-050</t>
  </si>
  <si>
    <t xml:space="preserve">Widget</t>
  </si>
  <si>
    <t xml:space="preserve">En tant qu'abonné, j'affiche un widget sur mon écran d'accueil avec mon solde et streak</t>
  </si>
  <si>
    <t xml:space="preserve">Widget Android (Glance) + iOS (WidgetKit) ; actualisation 15min ; tap -&gt; ouverture app</t>
  </si>
  <si>
    <t xml:space="preserve">Glance API + WidgetKit</t>
  </si>
  <si>
    <t xml:space="preserve">US-051</t>
  </si>
  <si>
    <t xml:space="preserve">🎪 Événement</t>
  </si>
  <si>
    <t xml:space="preserve">Calendrier</t>
  </si>
  <si>
    <t xml:space="preserve">En tant qu'annonceur, je vois les événements africains à venir lors de la création de campagne</t>
  </si>
  <si>
    <t xml:space="preserve">Calendrier Tabaski, Noël, 7 août, rentrée... ; templates saisonniers suggérés</t>
  </si>
  <si>
    <t xml:space="preserve">Table events_calendar en admin</t>
  </si>
  <si>
    <t xml:space="preserve">US-052</t>
  </si>
  <si>
    <t xml:space="preserve">Flash</t>
  </si>
  <si>
    <t xml:space="preserve">En tant qu'annonceur vérifié, je lance une campagne flash diffusée en &lt;2h</t>
  </si>
  <si>
    <t xml:space="preserve">Formulaire 5 champs ; +20% tarif ; validation accélérée ; notif prioritaire abonnés</t>
  </si>
  <si>
    <t xml:space="preserve">Queue prioritaire delivery</t>
  </si>
  <si>
    <t xml:space="preserve">US-053</t>
  </si>
  <si>
    <t xml:space="preserve">OON Days</t>
  </si>
  <si>
    <t xml:space="preserve">En tant qu'abonné, je participe aux OON Days avec rémunération x2</t>
  </si>
  <si>
    <t xml:space="preserve">1 OON Day/mois annoncé 1 semaine avant ; multiplicateur x2 sur le thème du jour</t>
  </si>
  <si>
    <t xml:space="preserve">Flag oon_day dans platform_config</t>
  </si>
  <si>
    <t xml:space="preserve">US-054</t>
  </si>
  <si>
    <t xml:space="preserve">Citoyen</t>
  </si>
  <si>
    <t xml:space="preserve">En tant qu'ONG/ministère, je crée une campagne de sensibilisation à tarif préférentiel</t>
  </si>
  <si>
    <t xml:space="preserve">Tarif réduit ou gratuit ; badge 'Message citoyen' ; workflow validation dédié</t>
  </si>
  <si>
    <t xml:space="preserve">Rôle INSTITUTION en DB</t>
  </si>
  <si>
    <t xml:space="preserve">US-055</t>
  </si>
  <si>
    <t xml:space="preserve">Season Pass</t>
  </si>
  <si>
    <t xml:space="preserve">En tant qu'annonceur, je souscris à un Season Pass trimestriel</t>
  </si>
  <si>
    <t xml:space="preserve">3 packages Bronze/Silver/Gold ; facturation trimestrielle ; diffusion garantie</t>
  </si>
  <si>
    <t xml:space="preserve">Module abonnement trimestriel</t>
  </si>
  <si>
    <t xml:space="preserve">US-056</t>
  </si>
  <si>
    <t xml:space="preserve">🤝 Partenariats</t>
  </si>
  <si>
    <t xml:space="preserve">Télécoms</t>
  </si>
  <si>
    <t xml:space="preserve">En tant qu'abonné Orange/MTN/Moov, je m'inscris via mon opérateur et reçois des récompenses en airtime</t>
  </si>
  <si>
    <t xml:space="preserve">API recharge airtime/data ; zero-rating partenaires ; négociation opérateurs requise</t>
  </si>
  <si>
    <t xml:space="preserve">Accord commercial requis en amont</t>
  </si>
  <si>
    <t xml:space="preserve">US-057</t>
  </si>
  <si>
    <t xml:space="preserve">E-commerce</t>
  </si>
  <si>
    <t xml:space="preserve">En tant qu'annonceur e-commerce, j'ajoute un CTA achat avec tracking de conversion</t>
  </si>
  <si>
    <t xml:space="preserve">Bouton 'Acheter' avec redirect ; tracking conversion via webhook ; rapport ROI complet</t>
  </si>
  <si>
    <t xml:space="preserve">Pixel de conversion tiers</t>
  </si>
  <si>
    <t xml:space="preserve">US-058</t>
  </si>
  <si>
    <t xml:space="preserve">OON Store</t>
  </si>
  <si>
    <t xml:space="preserve">En tant qu'abonné, je parcours l'annuaire des annonceurs vérifiés dans l'app</t>
  </si>
  <si>
    <t xml:space="preserve">Page profil par annonceur ; note globale ; suivi (follow) avec notif</t>
  </si>
  <si>
    <t xml:space="preserve">Table advertiser_profiles publiques</t>
  </si>
  <si>
    <t xml:space="preserve">US-059</t>
  </si>
  <si>
    <t xml:space="preserve">Universités</t>
  </si>
  <si>
    <t xml:space="preserve">En tant qu'étudiant, je m'inscris avec un bonus majoré à 1000 FCFA sur justificatif</t>
  </si>
  <si>
    <t xml:space="preserve">Vérification statut étudiant ; bonus 1000 FCFA ; compétition inter-campus</t>
  </si>
  <si>
    <t xml:space="preserve">Upload carte étudiant + validation admin</t>
  </si>
  <si>
    <t xml:space="preserve">US-060</t>
  </si>
  <si>
    <t xml:space="preserve">WhatsApp</t>
  </si>
  <si>
    <t xml:space="preserve">En tant qu'annonceur, j'ajoute un CTA 'Contacter sur WhatsApp' à ma pub</t>
  </si>
  <si>
    <t xml:space="preserve">Bouton WhatsApp Business ; message pré-rempli ; tracking clics dans le rapport</t>
  </si>
  <si>
    <t xml:space="preserve">WhatsApp Business API</t>
  </si>
  <si>
    <t xml:space="preserve">US-061</t>
  </si>
  <si>
    <t xml:space="preserve">🎓 Learn</t>
  </si>
  <si>
    <t xml:space="preserve">Éducative</t>
  </si>
  <si>
    <t xml:space="preserve">En tant qu'annonceur, je crée une pub éducative avec quiz de validation</t>
  </si>
  <si>
    <t xml:space="preserve">3-5 slides ou vidéo 60s + 2 questions ; crédit conditionnel si ≥1 bonne réponse</t>
  </si>
  <si>
    <t xml:space="preserve">Format spécial avec quiz_data JSONB</t>
  </si>
  <si>
    <t xml:space="preserve">US-062</t>
  </si>
  <si>
    <t xml:space="preserve">Formation</t>
  </si>
  <si>
    <t xml:space="preserve">En tant qu'abonné, je suis une micro-formation sponsorisée et reçois un certificat</t>
  </si>
  <si>
    <t xml:space="preserve">5-10 min ; étapes progressives ; certificat PDF téléchargeable ; badge dans le profil</t>
  </si>
  <si>
    <t xml:space="preserve">Table courses + completions</t>
  </si>
  <si>
    <t xml:space="preserve">US-063</t>
  </si>
  <si>
    <t xml:space="preserve">Presse</t>
  </si>
  <si>
    <t xml:space="preserve">En tant qu'abonné, je suis rémunéré pour avoir lu un article de presse partenaire</t>
  </si>
  <si>
    <t xml:space="preserve">Import articles médias partenaires ; mesure temps de lecture réel ; micro-crédit</t>
  </si>
  <si>
    <t xml:space="preserve">API partenaires médias</t>
  </si>
  <si>
    <t xml:space="preserve">US-064</t>
  </si>
  <si>
    <t xml:space="preserve">Quiz Show</t>
  </si>
  <si>
    <t xml:space="preserve">En tant qu'abonné, je participe au quiz live hebdomadaire pour gagner une cagnotte</t>
  </si>
  <si>
    <t xml:space="preserve">10 questions en 10 min ; WebSocket temps réel ; cagnotte annonceur partagée</t>
  </si>
  <si>
    <t xml:space="preserve">WebSocket server + room management</t>
  </si>
  <si>
    <t xml:space="preserve">US-065</t>
  </si>
  <si>
    <t xml:space="preserve">Bibliothèque</t>
  </si>
  <si>
    <t xml:space="preserve">En tant qu'abonné, j'accède à ma bibliothèque de ressources et certifications</t>
  </si>
  <si>
    <t xml:space="preserve">Portfolio personnel ; partage sur LinkedIn ; vérification certification via lien public</t>
  </si>
  <si>
    <t xml:space="preserve">Vue agrégée formations/badges</t>
  </si>
  <si>
    <t xml:space="preserve">US-066</t>
  </si>
  <si>
    <t xml:space="preserve">🛠️ Self-Serve</t>
  </si>
  <si>
    <t xml:space="preserve">Express</t>
  </si>
  <si>
    <t xml:space="preserve">En tant qu'annonceur PME, je lance une campagne en 3 étapes en &lt;3 minutes</t>
  </si>
  <si>
    <t xml:space="preserve">Wizard simplifié 3 étapes ; ciblage auto par IA ; budget min 5000 FCFA</t>
  </si>
  <si>
    <t xml:space="preserve">Wizard Express séparé du formulaire avancé</t>
  </si>
  <si>
    <t xml:space="preserve">US-067</t>
  </si>
  <si>
    <t xml:space="preserve">Prépayé</t>
  </si>
  <si>
    <t xml:space="preserve">En tant qu'annonceur, je recharge un crédit publicitaire et lance des campagnes sans retransaction</t>
  </si>
  <si>
    <t xml:space="preserve">Recharge 10k/25k/50k/100k FCFA ; bonus sur gros volumes ; alerte solde bas</t>
  </si>
  <si>
    <t xml:space="preserve">Table advertiser_wallet</t>
  </si>
  <si>
    <t xml:space="preserve">US-068</t>
  </si>
  <si>
    <t xml:space="preserve">Duplication</t>
  </si>
  <si>
    <t xml:space="preserve">En tant qu'annonceur, je duplique une campagne existante pour la relancer</t>
  </si>
  <si>
    <t xml:space="preserve">Copie complète avec pré-remplissage ; seuls les champs modifiés sont à resaisir</t>
  </si>
  <si>
    <t xml:space="preserve">POST /campaigns/{id}/duplicate</t>
  </si>
  <si>
    <t xml:space="preserve">US-069</t>
  </si>
  <si>
    <t xml:space="preserve">OON Pro</t>
  </si>
  <si>
    <t xml:space="preserve">En tant qu'annonceur régulier, je souscris à un abonnement mensuel OON Pro</t>
  </si>
  <si>
    <t xml:space="preserve">3 paliers Starter/Business/Premium ; paiement récurrent auto Mobile Money</t>
  </si>
  <si>
    <t xml:space="preserve">Module subscription + récurrence</t>
  </si>
  <si>
    <t xml:space="preserve">US-070</t>
  </si>
  <si>
    <t xml:space="preserve">Marketplace</t>
  </si>
  <si>
    <t xml:space="preserve">En tant qu'annonceur, je commande un contenu créatif à un prestataire local</t>
  </si>
  <si>
    <t xml:space="preserve">Brief + livraison dans l'app ; paiement sécurisé ; notation prestataire</t>
  </si>
  <si>
    <t xml:space="preserve">Marketplace séparée</t>
  </si>
  <si>
    <t xml:space="preserve">US-071</t>
  </si>
  <si>
    <t xml:space="preserve">💬 Support</t>
  </si>
  <si>
    <t xml:space="preserve">Onboarding</t>
  </si>
  <si>
    <t xml:space="preserve">En tant que nouvel utilisateur, je suis guidé par un onboarding interactif avec récompenses</t>
  </si>
  <si>
    <t xml:space="preserve">7 étapes abonné / 5 étapes annonceur ; badge + FCFA à chaque étape ; skippable</t>
  </si>
  <si>
    <t xml:space="preserve">Moteur onboarding configurable admin</t>
  </si>
  <si>
    <t xml:space="preserve">US-072</t>
  </si>
  <si>
    <t xml:space="preserve">OON Bot</t>
  </si>
  <si>
    <t xml:space="preserve">En tant qu'utilisateur, je pose mes questions à l'assistant IA OON Bot</t>
  </si>
  <si>
    <t xml:space="preserve">Réponses 24h/24 ; actions contextuelles ; escalade ticket humain si non résolu</t>
  </si>
  <si>
    <t xml:space="preserve">LLM + RAG sur FAQ + historique</t>
  </si>
  <si>
    <t xml:space="preserve">US-073</t>
  </si>
  <si>
    <t xml:space="preserve">Centre Aide</t>
  </si>
  <si>
    <t xml:space="preserve">En tant qu'utilisateur, j'accède au centre d'aide avec tutoriels vidéo hors-ligne</t>
  </si>
  <si>
    <t xml:space="preserve">FAQ illustrée ; vidéos 1-3 min ; recherche intelligente ; téléchargeables hors-ligne</t>
  </si>
  <si>
    <t xml:space="preserve">CMS articles + vidéos S3</t>
  </si>
  <si>
    <t xml:space="preserve">US-074</t>
  </si>
  <si>
    <t xml:space="preserve">Tickets</t>
  </si>
  <si>
    <t xml:space="preserve">En tant qu'utilisateur, je soumets un ticket de support et suis son traitement</t>
  </si>
  <si>
    <t xml:space="preserve">Catégories ; numéro unique ; statut temps réel ; délai garanti &lt;24h ; note à la fermeture</t>
  </si>
  <si>
    <t xml:space="preserve">Module ticketing avec SLA</t>
  </si>
  <si>
    <t xml:space="preserve">US-075</t>
  </si>
  <si>
    <t xml:space="preserve">NPS</t>
  </si>
  <si>
    <t xml:space="preserve">En tant que plateforme, je collecte le NPS abonné et annonceur en continu</t>
  </si>
  <si>
    <t xml:space="preserve">NPS déclenché contextuellement ; micro-feedbacks ; boîte à idées ; dashboard admin</t>
  </si>
  <si>
    <t xml:space="preserve">Déclencheurs post-retrait et post-campagne</t>
  </si>
  <si>
    <t xml:space="preserve">US-076</t>
  </si>
  <si>
    <t xml:space="preserve">Status Page</t>
  </si>
  <si>
    <t xml:space="preserve">En tant qu'utilisateur, je consulte l'état du système en temps réel</t>
  </si>
  <si>
    <t xml:space="preserve">Page status.oon.click ; broadcast d'incidents in-app ; historique 90 jours</t>
  </si>
  <si>
    <t xml:space="preserve">StatusPage.io ou solution custom</t>
  </si>
  <si>
    <t xml:space="preserve">US-077</t>
  </si>
  <si>
    <t xml:space="preserve">🌍 Diaspora</t>
  </si>
  <si>
    <t xml:space="preserve">Mode Diaspora</t>
  </si>
  <si>
    <t xml:space="preserve">En tant qu'ivoirien à l'étranger, je regarde des pubs et envoie mes gains à un proche en CI</t>
  </si>
  <si>
    <t xml:space="preserve">Inscription depuis l'étranger ; retrait vers Mobile Money d'un tiers en CI configuré</t>
  </si>
  <si>
    <t xml:space="preserve">Champ beneficiary_phone dans wallet</t>
  </si>
  <si>
    <t xml:space="preserve">US-078</t>
  </si>
  <si>
    <t xml:space="preserve">Ciblage Culturel</t>
  </si>
  <si>
    <t xml:space="preserve">En tant qu'annonceur, je cible les abonnés selon leurs données culturelles opt-in</t>
  </si>
  <si>
    <t xml:space="preserve">Champs optionnels : langue, région d'origine, religion ; consentement explicite distinct</t>
  </si>
  <si>
    <t xml:space="preserve">Champs optionnels JSONB + consentement séparé</t>
  </si>
  <si>
    <t xml:space="preserve">US-079</t>
  </si>
  <si>
    <t xml:space="preserve">USSD</t>
  </si>
  <si>
    <t xml:space="preserve">En tant qu'abonné sans smartphone, j'accède à oon.click via USSD</t>
  </si>
  <si>
    <t xml:space="preserve">Menu USSD *123*OON# ; pub texte SMS ; réponse 1 pour confirmer ; solde consultable</t>
  </si>
  <si>
    <t xml:space="preserve">Accord opérateur USSD requis</t>
  </si>
  <si>
    <t xml:space="preserve">US-080</t>
  </si>
  <si>
    <t xml:space="preserve">UEMOA</t>
  </si>
  <si>
    <t xml:space="preserve">En tant qu'annonceur CI, je peux cibler des abonnés dans les pays UEMOA</t>
  </si>
  <si>
    <t xml:space="preserve">Architecture multi-pays ; même FCFA ; localisation opérateurs ; déploiement progressif</t>
  </si>
  <si>
    <t xml:space="preserve">Feature flag par pays</t>
  </si>
  <si>
    <t xml:space="preserve">US-081</t>
  </si>
  <si>
    <t xml:space="preserve">Intl Advertisers</t>
  </si>
  <si>
    <t xml:space="preserve">En tant qu'annonceur international, j'utilise l'interface en anglais et paie en USD/EUR</t>
  </si>
  <si>
    <t xml:space="preserve">Interface FR/EN ; paiement USD/EUR converti en FCFA ; media kit EN disponible</t>
  </si>
  <si>
    <t xml:space="preserve">i18n + FX conversion</t>
  </si>
  <si>
    <t xml:space="preserve">oon.click — Sprint Planning</t>
  </si>
  <si>
    <t xml:space="preserve">Sprint</t>
  </si>
  <si>
    <t xml:space="preserve">Semaines</t>
  </si>
  <si>
    <t xml:space="preserve">Objectif</t>
  </si>
  <si>
    <t xml:space="preserve">User Stories incluses</t>
  </si>
  <si>
    <t xml:space="preserve">Phase</t>
  </si>
  <si>
    <t xml:space="preserve">Sem 3-4</t>
  </si>
  <si>
    <t xml:space="preserve">Fondations &amp; Auth</t>
  </si>
  <si>
    <t xml:space="preserve">US-001 | US-002 | US-015 | US-016 | US-033 | US-071</t>
  </si>
  <si>
    <t xml:space="preserve">MVP Core</t>
  </si>
  <si>
    <t xml:space="preserve">Sem 5-6</t>
  </si>
  <si>
    <t xml:space="preserve">Profil &amp; Sécurité</t>
  </si>
  <si>
    <t xml:space="preserve">US-028 | US-029 | US-032 | US-003 | US-004 | US-010 | US-011</t>
  </si>
  <si>
    <t xml:space="preserve">Sem 7-8</t>
  </si>
  <si>
    <t xml:space="preserve">Diffusion &amp; Mobile</t>
  </si>
  <si>
    <t xml:space="preserve">US-005 | US-025 | US-045 | US-046 | US-066 | US-009 | US-030 | US-031</t>
  </si>
  <si>
    <t xml:space="preserve">Sem 9-10</t>
  </si>
  <si>
    <t xml:space="preserve">Paiements &amp; Formats</t>
  </si>
  <si>
    <t xml:space="preserve">US-022 | US-023 | US-026 | US-048 | US-060 | US-067 | US-074 | US-047</t>
  </si>
  <si>
    <t xml:space="preserve">Paiements</t>
  </si>
  <si>
    <t xml:space="preserve">Sem 11-12</t>
  </si>
  <si>
    <t xml:space="preserve">Engagement &amp; B2B</t>
  </si>
  <si>
    <t xml:space="preserve">US-006 | US-017 | US-019 | US-020 | US-044 | US-051 | US-052 | US-059 | US-068 | US-072 | US-073</t>
  </si>
  <si>
    <t xml:space="preserve">Engagement</t>
  </si>
  <si>
    <t xml:space="preserve">Sem 13-14</t>
  </si>
  <si>
    <t xml:space="preserve">Analytics &amp; IA</t>
  </si>
  <si>
    <t xml:space="preserve">US-034 | US-035 | US-038 | US_049 | US-057 | US-058 | US-069 | US-076</t>
  </si>
  <si>
    <t xml:space="preserve">Analytics</t>
  </si>
  <si>
    <t xml:space="preserve">Sem 15-15</t>
  </si>
  <si>
    <t xml:space="preserve">Contenu &amp; Saisonnier</t>
  </si>
  <si>
    <t xml:space="preserve">US-036 | US-037 | US-039 | US-050 | US-053 | US-054 | US-063 | US-075 | US-078</t>
  </si>
  <si>
    <t xml:space="preserve">Contenu</t>
  </si>
  <si>
    <t xml:space="preserve">Sem 16-17</t>
  </si>
  <si>
    <t xml:space="preserve">API &amp; Partenariats</t>
  </si>
  <si>
    <t xml:space="preserve">US-040 | US-041 | US-055 | US-056 | US-064 | US-065 | US-070 | US-077 | US-081</t>
  </si>
  <si>
    <t xml:space="preserve">Expansion</t>
  </si>
  <si>
    <t xml:space="preserve">Sem 18</t>
  </si>
  <si>
    <t xml:space="preserve">International &amp; Futur</t>
  </si>
  <si>
    <t xml:space="preserve">US-042 | US-043 | US-079 | US-080</t>
  </si>
  <si>
    <t xml:space="preserve">Futur</t>
  </si>
  <si>
    <t xml:space="preserve">Definition of Done — oon.click</t>
  </si>
  <si>
    <t xml:space="preserve">Catégorie</t>
  </si>
  <si>
    <t xml:space="preserve">Critère</t>
  </si>
  <si>
    <t xml:space="preserve">Outil de vérification</t>
  </si>
  <si>
    <t xml:space="preserve">CODE</t>
  </si>
  <si>
    <t xml:space="preserve">Tests unitaires écrits et passants (couverture ≥ 80%)</t>
  </si>
  <si>
    <t xml:space="preserve">Jest / Flutter test</t>
  </si>
  <si>
    <t xml:space="preserve">Code revu par au moins 1 autre développeur</t>
  </si>
  <si>
    <t xml:space="preserve">GitHub Pull Request</t>
  </si>
  <si>
    <t xml:space="preserve">Aucune erreur de lint ni de compilation</t>
  </si>
  <si>
    <t xml:space="preserve">ESLint / Flutter analyze</t>
  </si>
  <si>
    <t xml:space="preserve">Variables d'environnement non hardcodées</t>
  </si>
  <si>
    <t xml:space="preserve">Revue sécurité</t>
  </si>
  <si>
    <t xml:space="preserve">Endpoint documenté dans Swagger/OpenAPI</t>
  </si>
  <si>
    <t xml:space="preserve">docs.oon.click/api</t>
  </si>
  <si>
    <t xml:space="preserve">Réponses d'erreur standardisées (RFC 7807)</t>
  </si>
  <si>
    <t xml:space="preserve">Middleware erreurs</t>
  </si>
  <si>
    <t xml:space="preserve">Rate limiting appliqué sur les endpoints publics</t>
  </si>
  <si>
    <t xml:space="preserve">NestJS ThrottlerModule</t>
  </si>
  <si>
    <t xml:space="preserve">TEST</t>
  </si>
  <si>
    <t xml:space="preserve">Tests d'intégration passants en environnement staging</t>
  </si>
  <si>
    <t xml:space="preserve">Pipeline CI/CD</t>
  </si>
  <si>
    <t xml:space="preserve">Cas de test QA validés par le Product Manager</t>
  </si>
  <si>
    <t xml:space="preserve">Plan de tests</t>
  </si>
  <si>
    <t xml:space="preserve">Testé sur Android 8+ et iOS 14+ (mobile)</t>
  </si>
  <si>
    <t xml:space="preserve">Firebase Test Lab</t>
  </si>
  <si>
    <t xml:space="preserve">PERF</t>
  </si>
  <si>
    <t xml:space="preserve">Temps de réponse API &lt; 500ms (p95) sur staging</t>
  </si>
  <si>
    <t xml:space="preserve">Postman / k6</t>
  </si>
  <si>
    <t xml:space="preserve">Aucune régression de performance vs sprint précédent</t>
  </si>
  <si>
    <t xml:space="preserve">Benchmark comparatif</t>
  </si>
  <si>
    <t xml:space="preserve">SÉCU</t>
  </si>
  <si>
    <t xml:space="preserve">Aucune donnée sensible dans les logs</t>
  </si>
  <si>
    <t xml:space="preserve">Endpoints protégés par authentification JWT</t>
  </si>
  <si>
    <t xml:space="preserve">Test Postman</t>
  </si>
  <si>
    <t xml:space="preserve">PROD</t>
  </si>
  <si>
    <t xml:space="preserve">Déployé en staging sans erreur de pipeline CI/CD</t>
  </si>
  <si>
    <t xml:space="preserve">GitHub Actions</t>
  </si>
  <si>
    <t xml:space="preserve">Migrations de base de données validées et réversibles</t>
  </si>
  <si>
    <t xml:space="preserve">Flyway/Prisma migrate</t>
  </si>
  <si>
    <t xml:space="preserve">Feature flag activé/désactivé sans redéploiement</t>
  </si>
  <si>
    <t xml:space="preserve">Platform_config DB</t>
  </si>
  <si>
    <t xml:space="preserve">DOC</t>
  </si>
  <si>
    <t xml:space="preserve">User Story mise à jour avec statut 'TERMINÉ'</t>
  </si>
  <si>
    <t xml:space="preserve">Ce backlog</t>
  </si>
  <si>
    <t xml:space="preserve">Notes de release rédigées pour les nouvelles fonctionnalités</t>
  </si>
  <si>
    <t xml:space="preserve">CHANGELOG.md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</si>
</sst>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1A3C6E"/>
      <name val="Arial"/>
      <family val="0"/>
      <charset val="1"/>
    </font>
    <font>
      <b val="true"/>
      <sz val="26"/>
      <color rgb="FF1A3C6E"/>
      <name val="Arial"/>
      <family val="0"/>
      <charset val="1"/>
    </font>
    <font>
      <b val="true"/>
      <sz val="9"/>
      <color rgb="FF00A878"/>
      <name val="Arial"/>
      <family val="0"/>
      <charset val="1"/>
    </font>
    <font>
      <b val="true"/>
      <sz val="26"/>
      <color rgb="FF00A878"/>
      <name val="Arial"/>
      <family val="0"/>
      <charset val="1"/>
    </font>
    <font>
      <b val="true"/>
      <sz val="9"/>
      <color rgb="FFE07B39"/>
      <name val="Arial"/>
      <family val="0"/>
      <charset val="1"/>
    </font>
    <font>
      <b val="true"/>
      <sz val="26"/>
      <color rgb="FFE07B39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26"/>
      <color rgb="FFE74C3C"/>
      <name val="Arial"/>
      <family val="0"/>
      <charset val="1"/>
    </font>
    <font>
      <b val="true"/>
      <sz val="9"/>
      <color rgb="FF6B7A8D"/>
      <name val="Arial"/>
      <family val="0"/>
      <charset val="1"/>
    </font>
    <font>
      <b val="true"/>
      <sz val="26"/>
      <color rgb="FF6B7A8D"/>
      <name val="Arial"/>
      <family val="0"/>
      <charset val="1"/>
    </font>
    <font>
      <b val="true"/>
      <sz val="12"/>
      <color rgb="FF1A3C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2B3A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sz val="9"/>
      <color rgb="FF1C2B3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3C6E"/>
      <name val="Arial"/>
      <family val="0"/>
      <charset val="1"/>
    </font>
    <font>
      <b val="true"/>
      <sz val="11"/>
      <color rgb="FF00A878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A3C6E"/>
        <bgColor rgb="FF2C3E50"/>
      </patternFill>
    </fill>
    <fill>
      <patternFill patternType="solid">
        <fgColor rgb="FFF5F6FA"/>
        <bgColor rgb="FFF5F5F5"/>
      </patternFill>
    </fill>
    <fill>
      <patternFill patternType="solid">
        <fgColor rgb="FFEBF2FA"/>
        <bgColor rgb="FFEBF5FB"/>
      </patternFill>
    </fill>
    <fill>
      <patternFill patternType="solid">
        <fgColor rgb="FFFFFFFF"/>
        <bgColor rgb="FFFFF8EE"/>
      </patternFill>
    </fill>
    <fill>
      <patternFill patternType="solid">
        <fgColor rgb="FFFFEEEE"/>
        <bgColor rgb="FFFDEDEC"/>
      </patternFill>
    </fill>
    <fill>
      <patternFill patternType="solid">
        <fgColor rgb="FFEBF5FB"/>
        <bgColor rgb="FFEBF2FA"/>
      </patternFill>
    </fill>
    <fill>
      <patternFill patternType="solid">
        <fgColor rgb="FFFFF8DC"/>
        <bgColor rgb="FFFEF9E7"/>
      </patternFill>
    </fill>
    <fill>
      <patternFill patternType="solid">
        <fgColor rgb="FFEAF4F0"/>
        <bgColor rgb="FFE8F8F5"/>
      </patternFill>
    </fill>
    <fill>
      <patternFill patternType="solid">
        <fgColor rgb="FFFFF8EE"/>
        <bgColor rgb="FFFEF9E7"/>
      </patternFill>
    </fill>
    <fill>
      <patternFill patternType="solid">
        <fgColor rgb="FFFEF9E7"/>
        <bgColor rgb="FFFFF8EE"/>
      </patternFill>
    </fill>
    <fill>
      <patternFill patternType="solid">
        <fgColor rgb="FFFDEBD0"/>
        <bgColor rgb="FFFFEECC"/>
      </patternFill>
    </fill>
    <fill>
      <patternFill patternType="solid">
        <fgColor rgb="FFEEFFF5"/>
        <bgColor rgb="FFE6FFF0"/>
      </patternFill>
    </fill>
    <fill>
      <patternFill patternType="solid">
        <fgColor rgb="FFFDEDEC"/>
        <bgColor rgb="FFFFEEEE"/>
      </patternFill>
    </fill>
    <fill>
      <patternFill patternType="solid">
        <fgColor rgb="FFF4ECF7"/>
        <bgColor rgb="FFF9EBEA"/>
      </patternFill>
    </fill>
    <fill>
      <patternFill patternType="solid">
        <fgColor rgb="FFE8F8F5"/>
        <bgColor rgb="FFEBF5FB"/>
      </patternFill>
    </fill>
    <fill>
      <patternFill patternType="solid">
        <fgColor rgb="FFF9EBEA"/>
        <bgColor rgb="FFFDEDEC"/>
      </patternFill>
    </fill>
    <fill>
      <patternFill patternType="solid">
        <fgColor rgb="FF2C3E50"/>
        <bgColor rgb="FF1A3C6E"/>
      </patternFill>
    </fill>
    <fill>
      <patternFill patternType="solid">
        <fgColor rgb="FFDDEEFF"/>
        <bgColor rgb="FFEBF2FA"/>
      </patternFill>
    </fill>
    <fill>
      <patternFill patternType="solid">
        <fgColor rgb="FFFFEECC"/>
        <bgColor rgb="FFFDEBD0"/>
      </patternFill>
    </fill>
    <fill>
      <patternFill patternType="solid">
        <fgColor rgb="FFEEFFDD"/>
        <bgColor rgb="FFE6FFF0"/>
      </patternFill>
    </fill>
    <fill>
      <patternFill patternType="solid">
        <fgColor rgb="FFF0E6FF"/>
        <bgColor rgb="FFF4ECF7"/>
      </patternFill>
    </fill>
    <fill>
      <patternFill patternType="solid">
        <fgColor rgb="FFFFE6EE"/>
        <bgColor rgb="FFF9EBEA"/>
      </patternFill>
    </fill>
    <fill>
      <patternFill patternType="solid">
        <fgColor rgb="FFE6FFF0"/>
        <bgColor rgb="FFEEFFF5"/>
      </patternFill>
    </fill>
    <fill>
      <patternFill patternType="solid">
        <fgColor rgb="FFF5F5F5"/>
        <bgColor rgb="FFF5F6FA"/>
      </patternFill>
    </fill>
    <fill>
      <patternFill patternType="solid">
        <fgColor rgb="FF00A87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3C6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EEFFF5"/>
      <rgbColor rgb="FF800000"/>
      <rgbColor rgb="FF008000"/>
      <rgbColor rgb="FF000080"/>
      <rgbColor rgb="FFF5F5F5"/>
      <rgbColor rgb="FF800080"/>
      <rgbColor rgb="FF008080"/>
      <rgbColor rgb="FFF0E6FF"/>
      <rgbColor rgb="FF6B7A8D"/>
      <rgbColor rgb="FFEAF4F0"/>
      <rgbColor rgb="FF993366"/>
      <rgbColor rgb="FFFFF8DC"/>
      <rgbColor rgb="FFE6FFF0"/>
      <rgbColor rgb="FF660066"/>
      <rgbColor rgb="FFE07B39"/>
      <rgbColor rgb="FF0066CC"/>
      <rgbColor rgb="FFD0DCE8"/>
      <rgbColor rgb="FF000080"/>
      <rgbColor rgb="FFFF00FF"/>
      <rgbColor rgb="FFFFF8EE"/>
      <rgbColor rgb="FFF5F6FA"/>
      <rgbColor rgb="FF800080"/>
      <rgbColor rgb="FF800000"/>
      <rgbColor rgb="FF008080"/>
      <rgbColor rgb="FF0000FF"/>
      <rgbColor rgb="FF00CCFF"/>
      <rgbColor rgb="FFDDEEFF"/>
      <rgbColor rgb="FFEEFFDD"/>
      <rgbColor rgb="FFFFEECC"/>
      <rgbColor rgb="FFEBF2FA"/>
      <rgbColor rgb="FFFFE6EE"/>
      <rgbColor rgb="FFF4ECF7"/>
      <rgbColor rgb="FFFDEBD0"/>
      <rgbColor rgb="FF3366FF"/>
      <rgbColor rgb="FFEBF5FB"/>
      <rgbColor rgb="FFE8F8F5"/>
      <rgbColor rgb="FFF9EBEA"/>
      <rgbColor rgb="FFFFEEEE"/>
      <rgbColor rgb="FFE74C3C"/>
      <rgbColor rgb="FF666699"/>
      <rgbColor rgb="FFFDEDEC"/>
      <rgbColor rgb="FF1A3C6E"/>
      <rgbColor rgb="FF00A878"/>
      <rgbColor rgb="FF003300"/>
      <rgbColor rgb="FF1C2B3A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7.5" hidden="false" customHeight="true" outlineLevel="0" collapsed="false"/>
    <row r="2" customFormat="false" ht="49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1</v>
      </c>
      <c r="C4" s="4" t="n">
        <f aca="false">COUNTA('📋 Backlog'!A2:A500)-1</f>
        <v>80</v>
      </c>
      <c r="D4" s="5" t="s">
        <v>2</v>
      </c>
      <c r="E4" s="6" t="n">
        <f aca="false">COUNTIF('📋 Backlog'!E2:E500,"HIGH")</f>
        <v>45</v>
      </c>
      <c r="F4" s="7" t="s">
        <v>3</v>
      </c>
      <c r="G4" s="8" t="n">
        <f aca="false">SUMIF('📋 Backlog'!A2:A500,"&lt;&gt;",'📋 Backlog'!H2:H500)</f>
        <v>475</v>
      </c>
      <c r="H4" s="9" t="s">
        <v>4</v>
      </c>
      <c r="I4" s="10" t="s">
        <v>5</v>
      </c>
      <c r="J4" s="11" t="s">
        <v>6</v>
      </c>
      <c r="K4" s="12" t="s">
        <v>7</v>
      </c>
    </row>
    <row r="5" customFormat="false" ht="36" hidden="false" customHeight="true" outlineLevel="0" collapsed="false">
      <c r="B5" s="13"/>
      <c r="C5" s="13"/>
      <c r="D5" s="13"/>
      <c r="E5" s="13"/>
      <c r="F5" s="13"/>
      <c r="G5" s="13"/>
      <c r="H5" s="13"/>
      <c r="I5" s="13"/>
      <c r="J5" s="13"/>
      <c r="K5" s="13"/>
    </row>
    <row r="7" customFormat="false" ht="24" hidden="false" customHeight="true" outlineLevel="0" collapsed="false">
      <c r="B7" s="14" t="s">
        <v>8</v>
      </c>
      <c r="C7" s="14"/>
      <c r="D7" s="14"/>
      <c r="E7" s="14"/>
      <c r="F7" s="14"/>
      <c r="G7" s="14"/>
      <c r="H7" s="14"/>
      <c r="I7" s="14"/>
      <c r="J7" s="14"/>
      <c r="K7" s="14"/>
    </row>
    <row r="8" customFormat="false" ht="19.5" hidden="false" customHeight="true" outlineLevel="0" collapsed="false">
      <c r="B8" s="15" t="s">
        <v>9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</row>
    <row r="9" customFormat="false" ht="19.5" hidden="false" customHeight="true" outlineLevel="0" collapsed="false">
      <c r="B9" s="16" t="s">
        <v>16</v>
      </c>
      <c r="C9" s="17" t="n">
        <v>7</v>
      </c>
      <c r="D9" s="18" t="n">
        <v>4</v>
      </c>
      <c r="E9" s="17" t="n">
        <v>3</v>
      </c>
      <c r="F9" s="17" t="n">
        <v>0</v>
      </c>
      <c r="G9" s="17" t="n">
        <v>21</v>
      </c>
      <c r="H9" s="17" t="s">
        <v>17</v>
      </c>
    </row>
    <row r="10" customFormat="false" ht="19.5" hidden="false" customHeight="true" outlineLevel="0" collapsed="false">
      <c r="B10" s="19" t="s">
        <v>18</v>
      </c>
      <c r="C10" s="20" t="n">
        <v>5</v>
      </c>
      <c r="D10" s="21" t="n">
        <v>2</v>
      </c>
      <c r="E10" s="20" t="n">
        <v>2</v>
      </c>
      <c r="F10" s="20" t="n">
        <v>1</v>
      </c>
      <c r="G10" s="20" t="n">
        <v>15</v>
      </c>
      <c r="H10" s="20" t="s">
        <v>19</v>
      </c>
    </row>
    <row r="11" customFormat="false" ht="19.5" hidden="false" customHeight="true" outlineLevel="0" collapsed="false">
      <c r="B11" s="16" t="s">
        <v>20</v>
      </c>
      <c r="C11" s="17" t="n">
        <v>7</v>
      </c>
      <c r="D11" s="18" t="n">
        <v>4</v>
      </c>
      <c r="E11" s="17" t="n">
        <v>3</v>
      </c>
      <c r="F11" s="17" t="n">
        <v>0</v>
      </c>
      <c r="G11" s="17" t="n">
        <v>21</v>
      </c>
      <c r="H11" s="17" t="s">
        <v>21</v>
      </c>
    </row>
    <row r="12" customFormat="false" ht="19.5" hidden="false" customHeight="true" outlineLevel="0" collapsed="false">
      <c r="B12" s="19" t="s">
        <v>22</v>
      </c>
      <c r="C12" s="20" t="n">
        <v>6</v>
      </c>
      <c r="D12" s="21" t="n">
        <v>3</v>
      </c>
      <c r="E12" s="20" t="n">
        <v>2</v>
      </c>
      <c r="F12" s="20" t="n">
        <v>1</v>
      </c>
      <c r="G12" s="20" t="n">
        <v>18</v>
      </c>
      <c r="H12" s="20" t="s">
        <v>23</v>
      </c>
    </row>
    <row r="13" customFormat="false" ht="19.5" hidden="false" customHeight="true" outlineLevel="0" collapsed="false">
      <c r="B13" s="16" t="s">
        <v>24</v>
      </c>
      <c r="C13" s="17" t="n">
        <v>6</v>
      </c>
      <c r="D13" s="18" t="n">
        <v>6</v>
      </c>
      <c r="E13" s="17" t="n">
        <v>0</v>
      </c>
      <c r="F13" s="17" t="n">
        <v>0</v>
      </c>
      <c r="G13" s="17" t="n">
        <v>18</v>
      </c>
      <c r="H13" s="17" t="s">
        <v>25</v>
      </c>
    </row>
    <row r="14" customFormat="false" ht="19.5" hidden="false" customHeight="true" outlineLevel="0" collapsed="false">
      <c r="B14" s="19" t="s">
        <v>26</v>
      </c>
      <c r="C14" s="20" t="n">
        <v>6</v>
      </c>
      <c r="D14" s="21" t="n">
        <v>3</v>
      </c>
      <c r="E14" s="20" t="n">
        <v>3</v>
      </c>
      <c r="F14" s="20" t="n">
        <v>0</v>
      </c>
      <c r="G14" s="20" t="n">
        <v>18</v>
      </c>
      <c r="H14" s="20" t="s">
        <v>27</v>
      </c>
    </row>
    <row r="15" customFormat="false" ht="19.5" hidden="false" customHeight="true" outlineLevel="0" collapsed="false">
      <c r="B15" s="16" t="s">
        <v>28</v>
      </c>
      <c r="C15" s="17" t="n">
        <v>5</v>
      </c>
      <c r="D15" s="18" t="n">
        <v>1</v>
      </c>
      <c r="E15" s="17" t="n">
        <v>2</v>
      </c>
      <c r="F15" s="17" t="n">
        <v>2</v>
      </c>
      <c r="G15" s="17" t="n">
        <v>15</v>
      </c>
      <c r="H15" s="17" t="s">
        <v>5</v>
      </c>
    </row>
    <row r="16" customFormat="false" ht="19.5" hidden="false" customHeight="true" outlineLevel="0" collapsed="false">
      <c r="B16" s="19" t="s">
        <v>29</v>
      </c>
      <c r="C16" s="20" t="n">
        <v>6</v>
      </c>
      <c r="D16" s="21" t="n">
        <v>3</v>
      </c>
      <c r="E16" s="20" t="n">
        <v>3</v>
      </c>
      <c r="F16" s="20" t="n">
        <v>0</v>
      </c>
      <c r="G16" s="20" t="n">
        <v>18</v>
      </c>
      <c r="H16" s="20" t="s">
        <v>30</v>
      </c>
    </row>
    <row r="17" customFormat="false" ht="19.5" hidden="false" customHeight="true" outlineLevel="0" collapsed="false">
      <c r="B17" s="16" t="s">
        <v>31</v>
      </c>
      <c r="C17" s="17" t="n">
        <v>5</v>
      </c>
      <c r="D17" s="18" t="n">
        <v>2</v>
      </c>
      <c r="E17" s="17" t="n">
        <v>3</v>
      </c>
      <c r="F17" s="17" t="n">
        <v>0</v>
      </c>
      <c r="G17" s="17" t="n">
        <v>15</v>
      </c>
      <c r="H17" s="17" t="s">
        <v>32</v>
      </c>
    </row>
    <row r="18" customFormat="false" ht="19.5" hidden="false" customHeight="true" outlineLevel="0" collapsed="false">
      <c r="B18" s="19" t="s">
        <v>33</v>
      </c>
      <c r="C18" s="20" t="n">
        <v>5</v>
      </c>
      <c r="D18" s="21" t="n">
        <v>3</v>
      </c>
      <c r="E18" s="20" t="n">
        <v>2</v>
      </c>
      <c r="F18" s="20" t="n">
        <v>0</v>
      </c>
      <c r="G18" s="20" t="n">
        <v>15</v>
      </c>
      <c r="H18" s="20" t="s">
        <v>34</v>
      </c>
    </row>
    <row r="19" customFormat="false" ht="19.5" hidden="false" customHeight="true" outlineLevel="0" collapsed="false">
      <c r="B19" s="16" t="s">
        <v>35</v>
      </c>
      <c r="C19" s="17" t="n">
        <v>5</v>
      </c>
      <c r="D19" s="18" t="n">
        <v>2</v>
      </c>
      <c r="E19" s="17" t="n">
        <v>2</v>
      </c>
      <c r="F19" s="17" t="n">
        <v>1</v>
      </c>
      <c r="G19" s="17" t="n">
        <v>15</v>
      </c>
      <c r="H19" s="17" t="s">
        <v>36</v>
      </c>
    </row>
    <row r="20" customFormat="false" ht="19.5" hidden="false" customHeight="true" outlineLevel="0" collapsed="false">
      <c r="B20" s="19" t="s">
        <v>37</v>
      </c>
      <c r="C20" s="20" t="n">
        <v>5</v>
      </c>
      <c r="D20" s="21" t="n">
        <v>3</v>
      </c>
      <c r="E20" s="20" t="n">
        <v>2</v>
      </c>
      <c r="F20" s="20" t="n">
        <v>0</v>
      </c>
      <c r="G20" s="20" t="n">
        <v>15</v>
      </c>
      <c r="H20" s="20" t="s">
        <v>38</v>
      </c>
    </row>
    <row r="21" customFormat="false" ht="19.5" hidden="false" customHeight="true" outlineLevel="0" collapsed="false">
      <c r="B21" s="16" t="s">
        <v>39</v>
      </c>
      <c r="C21" s="17" t="n">
        <v>6</v>
      </c>
      <c r="D21" s="18" t="n">
        <v>4</v>
      </c>
      <c r="E21" s="17" t="n">
        <v>2</v>
      </c>
      <c r="F21" s="17" t="n">
        <v>0</v>
      </c>
      <c r="G21" s="17" t="n">
        <v>18</v>
      </c>
      <c r="H21" s="17" t="s">
        <v>40</v>
      </c>
    </row>
    <row r="22" customFormat="false" ht="19.5" hidden="false" customHeight="true" outlineLevel="0" collapsed="false">
      <c r="B22" s="19" t="s">
        <v>41</v>
      </c>
      <c r="C22" s="20" t="n">
        <v>5</v>
      </c>
      <c r="D22" s="21" t="n">
        <v>2</v>
      </c>
      <c r="E22" s="20" t="n">
        <v>2</v>
      </c>
      <c r="F22" s="20" t="n">
        <v>1</v>
      </c>
      <c r="G22" s="20" t="n">
        <v>15</v>
      </c>
      <c r="H22" s="20" t="s">
        <v>5</v>
      </c>
    </row>
  </sheetData>
  <mergeCells count="2">
    <mergeCell ref="B2:K2"/>
    <mergeCell ref="B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45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5"/>
  </cols>
  <sheetData>
    <row r="1" customFormat="false" ht="27.75" hidden="false" customHeight="true" outlineLevel="0" collapsed="false">
      <c r="A1" s="15" t="s">
        <v>42</v>
      </c>
      <c r="B1" s="15" t="s">
        <v>43</v>
      </c>
      <c r="C1" s="15" t="s">
        <v>44</v>
      </c>
      <c r="D1" s="15" t="s">
        <v>45</v>
      </c>
      <c r="E1" s="15" t="s">
        <v>46</v>
      </c>
      <c r="F1" s="15" t="s">
        <v>47</v>
      </c>
      <c r="G1" s="15" t="s">
        <v>48</v>
      </c>
      <c r="H1" s="15" t="s">
        <v>3</v>
      </c>
      <c r="I1" s="15" t="s">
        <v>49</v>
      </c>
      <c r="J1" s="15" t="s">
        <v>50</v>
      </c>
      <c r="K1" s="15" t="s">
        <v>51</v>
      </c>
    </row>
    <row r="2" customFormat="false" ht="37.5" hidden="false" customHeight="true" outlineLevel="0" collapsed="false">
      <c r="A2" s="22" t="s">
        <v>52</v>
      </c>
      <c r="B2" s="22" t="s">
        <v>53</v>
      </c>
      <c r="C2" s="22" t="s">
        <v>54</v>
      </c>
      <c r="D2" s="23" t="s">
        <v>55</v>
      </c>
      <c r="E2" s="24" t="s">
        <v>11</v>
      </c>
      <c r="F2" s="23" t="s">
        <v>56</v>
      </c>
      <c r="G2" s="22" t="s">
        <v>57</v>
      </c>
      <c r="H2" s="22" t="n">
        <v>3</v>
      </c>
      <c r="I2" s="25" t="s">
        <v>58</v>
      </c>
      <c r="J2" s="26" t="s">
        <v>59</v>
      </c>
      <c r="K2" s="23" t="s">
        <v>60</v>
      </c>
    </row>
    <row r="3" customFormat="false" ht="37.5" hidden="false" customHeight="true" outlineLevel="0" collapsed="false">
      <c r="A3" s="27" t="s">
        <v>61</v>
      </c>
      <c r="B3" s="27" t="s">
        <v>53</v>
      </c>
      <c r="C3" s="27" t="s">
        <v>54</v>
      </c>
      <c r="D3" s="28" t="s">
        <v>62</v>
      </c>
      <c r="E3" s="24" t="s">
        <v>11</v>
      </c>
      <c r="F3" s="28" t="s">
        <v>63</v>
      </c>
      <c r="G3" s="27" t="s">
        <v>52</v>
      </c>
      <c r="H3" s="27" t="n">
        <v>3</v>
      </c>
      <c r="I3" s="25" t="s">
        <v>58</v>
      </c>
      <c r="J3" s="26" t="s">
        <v>59</v>
      </c>
      <c r="K3" s="28" t="s">
        <v>64</v>
      </c>
    </row>
    <row r="4" customFormat="false" ht="37.5" hidden="false" customHeight="true" outlineLevel="0" collapsed="false">
      <c r="A4" s="22" t="s">
        <v>65</v>
      </c>
      <c r="B4" s="22" t="s">
        <v>53</v>
      </c>
      <c r="C4" s="22" t="s">
        <v>66</v>
      </c>
      <c r="D4" s="23" t="s">
        <v>67</v>
      </c>
      <c r="E4" s="24" t="s">
        <v>11</v>
      </c>
      <c r="F4" s="23" t="s">
        <v>68</v>
      </c>
      <c r="G4" s="22" t="s">
        <v>57</v>
      </c>
      <c r="H4" s="22" t="n">
        <v>3</v>
      </c>
      <c r="I4" s="29" t="s">
        <v>69</v>
      </c>
      <c r="J4" s="26" t="s">
        <v>59</v>
      </c>
      <c r="K4" s="23" t="s">
        <v>70</v>
      </c>
    </row>
    <row r="5" customFormat="false" ht="37.5" hidden="false" customHeight="true" outlineLevel="0" collapsed="false">
      <c r="A5" s="27" t="s">
        <v>71</v>
      </c>
      <c r="B5" s="27" t="s">
        <v>53</v>
      </c>
      <c r="C5" s="27" t="s">
        <v>66</v>
      </c>
      <c r="D5" s="28" t="s">
        <v>72</v>
      </c>
      <c r="E5" s="24" t="s">
        <v>11</v>
      </c>
      <c r="F5" s="28" t="s">
        <v>73</v>
      </c>
      <c r="G5" s="27" t="s">
        <v>65</v>
      </c>
      <c r="H5" s="27" t="n">
        <v>2</v>
      </c>
      <c r="I5" s="29" t="s">
        <v>69</v>
      </c>
      <c r="J5" s="26" t="s">
        <v>59</v>
      </c>
      <c r="K5" s="28" t="s">
        <v>74</v>
      </c>
    </row>
    <row r="6" customFormat="false" ht="37.5" hidden="false" customHeight="true" outlineLevel="0" collapsed="false">
      <c r="A6" s="22" t="s">
        <v>75</v>
      </c>
      <c r="B6" s="22" t="s">
        <v>53</v>
      </c>
      <c r="C6" s="22" t="s">
        <v>76</v>
      </c>
      <c r="D6" s="23" t="s">
        <v>77</v>
      </c>
      <c r="E6" s="24" t="s">
        <v>11</v>
      </c>
      <c r="F6" s="23" t="s">
        <v>78</v>
      </c>
      <c r="G6" s="22" t="s">
        <v>57</v>
      </c>
      <c r="H6" s="22" t="n">
        <v>3</v>
      </c>
      <c r="I6" s="29" t="s">
        <v>69</v>
      </c>
      <c r="J6" s="26" t="s">
        <v>59</v>
      </c>
      <c r="K6" s="23" t="s">
        <v>79</v>
      </c>
    </row>
    <row r="7" customFormat="false" ht="37.5" hidden="false" customHeight="true" outlineLevel="0" collapsed="false">
      <c r="A7" s="27" t="s">
        <v>80</v>
      </c>
      <c r="B7" s="27" t="s">
        <v>53</v>
      </c>
      <c r="C7" s="27" t="s">
        <v>81</v>
      </c>
      <c r="D7" s="28" t="s">
        <v>82</v>
      </c>
      <c r="E7" s="30" t="s">
        <v>12</v>
      </c>
      <c r="F7" s="28" t="s">
        <v>83</v>
      </c>
      <c r="G7" s="27" t="s">
        <v>52</v>
      </c>
      <c r="H7" s="27" t="n">
        <v>3</v>
      </c>
      <c r="I7" s="31" t="s">
        <v>84</v>
      </c>
      <c r="J7" s="26" t="s">
        <v>59</v>
      </c>
      <c r="K7" s="28" t="s">
        <v>85</v>
      </c>
    </row>
    <row r="8" customFormat="false" ht="37.5" hidden="false" customHeight="true" outlineLevel="0" collapsed="false">
      <c r="A8" s="22" t="s">
        <v>86</v>
      </c>
      <c r="B8" s="22" t="s">
        <v>53</v>
      </c>
      <c r="C8" s="22" t="s">
        <v>87</v>
      </c>
      <c r="D8" s="23" t="s">
        <v>88</v>
      </c>
      <c r="E8" s="30" t="s">
        <v>12</v>
      </c>
      <c r="F8" s="23" t="s">
        <v>89</v>
      </c>
      <c r="G8" s="22" t="s">
        <v>57</v>
      </c>
      <c r="H8" s="22" t="n">
        <v>3</v>
      </c>
      <c r="I8" s="31" t="s">
        <v>84</v>
      </c>
      <c r="J8" s="26" t="s">
        <v>59</v>
      </c>
      <c r="K8" s="23" t="s">
        <v>90</v>
      </c>
    </row>
    <row r="9" customFormat="false" ht="37.5" hidden="false" customHeight="true" outlineLevel="0" collapsed="false">
      <c r="A9" s="27" t="s">
        <v>91</v>
      </c>
      <c r="B9" s="27" t="s">
        <v>53</v>
      </c>
      <c r="C9" s="27" t="s">
        <v>92</v>
      </c>
      <c r="D9" s="28" t="s">
        <v>93</v>
      </c>
      <c r="E9" s="30" t="s">
        <v>12</v>
      </c>
      <c r="F9" s="28" t="s">
        <v>94</v>
      </c>
      <c r="G9" s="27" t="s">
        <v>52</v>
      </c>
      <c r="H9" s="27" t="n">
        <v>5</v>
      </c>
      <c r="I9" s="32" t="s">
        <v>95</v>
      </c>
      <c r="J9" s="26" t="s">
        <v>59</v>
      </c>
      <c r="K9" s="28" t="s">
        <v>96</v>
      </c>
    </row>
    <row r="10" customFormat="false" ht="37.5" hidden="false" customHeight="true" outlineLevel="0" collapsed="false">
      <c r="A10" s="22" t="s">
        <v>97</v>
      </c>
      <c r="B10" s="22" t="s">
        <v>53</v>
      </c>
      <c r="C10" s="22" t="s">
        <v>98</v>
      </c>
      <c r="D10" s="23" t="s">
        <v>99</v>
      </c>
      <c r="E10" s="24" t="s">
        <v>11</v>
      </c>
      <c r="F10" s="23" t="s">
        <v>100</v>
      </c>
      <c r="G10" s="22" t="s">
        <v>57</v>
      </c>
      <c r="H10" s="22" t="n">
        <v>5</v>
      </c>
      <c r="I10" s="31" t="s">
        <v>84</v>
      </c>
      <c r="J10" s="26" t="s">
        <v>59</v>
      </c>
      <c r="K10" s="23" t="s">
        <v>101</v>
      </c>
    </row>
    <row r="11" customFormat="false" ht="37.5" hidden="false" customHeight="true" outlineLevel="0" collapsed="false">
      <c r="A11" s="27" t="s">
        <v>102</v>
      </c>
      <c r="B11" s="27" t="s">
        <v>103</v>
      </c>
      <c r="C11" s="27" t="s">
        <v>104</v>
      </c>
      <c r="D11" s="28" t="s">
        <v>105</v>
      </c>
      <c r="E11" s="24" t="s">
        <v>11</v>
      </c>
      <c r="F11" s="28" t="s">
        <v>106</v>
      </c>
      <c r="G11" s="27" t="s">
        <v>57</v>
      </c>
      <c r="H11" s="27" t="n">
        <v>3</v>
      </c>
      <c r="I11" s="29" t="s">
        <v>69</v>
      </c>
      <c r="J11" s="26" t="s">
        <v>59</v>
      </c>
      <c r="K11" s="28" t="s">
        <v>107</v>
      </c>
    </row>
    <row r="12" customFormat="false" ht="37.5" hidden="false" customHeight="true" outlineLevel="0" collapsed="false">
      <c r="A12" s="22" t="s">
        <v>108</v>
      </c>
      <c r="B12" s="22" t="s">
        <v>103</v>
      </c>
      <c r="C12" s="22" t="s">
        <v>104</v>
      </c>
      <c r="D12" s="23" t="s">
        <v>109</v>
      </c>
      <c r="E12" s="24" t="s">
        <v>11</v>
      </c>
      <c r="F12" s="23" t="s">
        <v>110</v>
      </c>
      <c r="G12" s="22" t="s">
        <v>102</v>
      </c>
      <c r="H12" s="22" t="n">
        <v>3</v>
      </c>
      <c r="I12" s="29" t="s">
        <v>69</v>
      </c>
      <c r="J12" s="26" t="s">
        <v>59</v>
      </c>
      <c r="K12" s="23" t="s">
        <v>111</v>
      </c>
    </row>
    <row r="13" customFormat="false" ht="37.5" hidden="false" customHeight="true" outlineLevel="0" collapsed="false">
      <c r="A13" s="27" t="s">
        <v>112</v>
      </c>
      <c r="B13" s="27" t="s">
        <v>103</v>
      </c>
      <c r="C13" s="27" t="s">
        <v>113</v>
      </c>
      <c r="D13" s="28" t="s">
        <v>114</v>
      </c>
      <c r="E13" s="30" t="s">
        <v>12</v>
      </c>
      <c r="F13" s="28" t="s">
        <v>115</v>
      </c>
      <c r="G13" s="27" t="s">
        <v>102</v>
      </c>
      <c r="H13" s="27" t="n">
        <v>3</v>
      </c>
      <c r="I13" s="32" t="s">
        <v>95</v>
      </c>
      <c r="J13" s="26" t="s">
        <v>59</v>
      </c>
      <c r="K13" s="28" t="s">
        <v>116</v>
      </c>
    </row>
    <row r="14" customFormat="false" ht="37.5" hidden="false" customHeight="true" outlineLevel="0" collapsed="false">
      <c r="A14" s="22" t="s">
        <v>117</v>
      </c>
      <c r="B14" s="22" t="s">
        <v>103</v>
      </c>
      <c r="C14" s="22" t="s">
        <v>118</v>
      </c>
      <c r="D14" s="23" t="s">
        <v>119</v>
      </c>
      <c r="E14" s="33" t="s">
        <v>13</v>
      </c>
      <c r="F14" s="23" t="s">
        <v>120</v>
      </c>
      <c r="G14" s="22" t="s">
        <v>57</v>
      </c>
      <c r="H14" s="22" t="n">
        <v>3</v>
      </c>
      <c r="I14" s="34" t="s">
        <v>121</v>
      </c>
      <c r="J14" s="26" t="s">
        <v>59</v>
      </c>
      <c r="K14" s="23" t="s">
        <v>122</v>
      </c>
    </row>
    <row r="15" customFormat="false" ht="37.5" hidden="false" customHeight="true" outlineLevel="0" collapsed="false">
      <c r="A15" s="27" t="s">
        <v>123</v>
      </c>
      <c r="B15" s="27" t="s">
        <v>103</v>
      </c>
      <c r="C15" s="27" t="s">
        <v>124</v>
      </c>
      <c r="D15" s="28" t="s">
        <v>125</v>
      </c>
      <c r="E15" s="30" t="s">
        <v>12</v>
      </c>
      <c r="F15" s="28" t="s">
        <v>126</v>
      </c>
      <c r="G15" s="27" t="s">
        <v>57</v>
      </c>
      <c r="H15" s="27" t="n">
        <v>5</v>
      </c>
      <c r="I15" s="35" t="s">
        <v>127</v>
      </c>
      <c r="J15" s="26" t="s">
        <v>59</v>
      </c>
      <c r="K15" s="28" t="s">
        <v>128</v>
      </c>
    </row>
    <row r="16" customFormat="false" ht="37.5" hidden="false" customHeight="true" outlineLevel="0" collapsed="false">
      <c r="A16" s="22" t="s">
        <v>129</v>
      </c>
      <c r="B16" s="22" t="s">
        <v>130</v>
      </c>
      <c r="C16" s="22" t="s">
        <v>131</v>
      </c>
      <c r="D16" s="23" t="s">
        <v>132</v>
      </c>
      <c r="E16" s="24" t="s">
        <v>11</v>
      </c>
      <c r="F16" s="23" t="s">
        <v>133</v>
      </c>
      <c r="G16" s="22" t="s">
        <v>57</v>
      </c>
      <c r="H16" s="22" t="n">
        <v>8</v>
      </c>
      <c r="I16" s="25" t="s">
        <v>58</v>
      </c>
      <c r="J16" s="26" t="s">
        <v>59</v>
      </c>
      <c r="K16" s="23" t="s">
        <v>134</v>
      </c>
    </row>
    <row r="17" customFormat="false" ht="37.5" hidden="false" customHeight="true" outlineLevel="0" collapsed="false">
      <c r="A17" s="27" t="s">
        <v>135</v>
      </c>
      <c r="B17" s="27" t="s">
        <v>130</v>
      </c>
      <c r="C17" s="27" t="s">
        <v>131</v>
      </c>
      <c r="D17" s="28" t="s">
        <v>136</v>
      </c>
      <c r="E17" s="24" t="s">
        <v>11</v>
      </c>
      <c r="F17" s="28" t="s">
        <v>137</v>
      </c>
      <c r="G17" s="27" t="s">
        <v>129</v>
      </c>
      <c r="H17" s="27" t="n">
        <v>3</v>
      </c>
      <c r="I17" s="25" t="s">
        <v>58</v>
      </c>
      <c r="J17" s="26" t="s">
        <v>59</v>
      </c>
      <c r="K17" s="28" t="s">
        <v>138</v>
      </c>
    </row>
    <row r="18" customFormat="false" ht="37.5" hidden="false" customHeight="true" outlineLevel="0" collapsed="false">
      <c r="A18" s="22" t="s">
        <v>139</v>
      </c>
      <c r="B18" s="22" t="s">
        <v>130</v>
      </c>
      <c r="C18" s="22" t="s">
        <v>140</v>
      </c>
      <c r="D18" s="23" t="s">
        <v>141</v>
      </c>
      <c r="E18" s="24" t="s">
        <v>11</v>
      </c>
      <c r="F18" s="23" t="s">
        <v>142</v>
      </c>
      <c r="G18" s="22" t="s">
        <v>129</v>
      </c>
      <c r="H18" s="22" t="n">
        <v>5</v>
      </c>
      <c r="I18" s="35" t="s">
        <v>127</v>
      </c>
      <c r="J18" s="26" t="s">
        <v>59</v>
      </c>
      <c r="K18" s="23" t="s">
        <v>143</v>
      </c>
    </row>
    <row r="19" customFormat="false" ht="37.5" hidden="false" customHeight="true" outlineLevel="0" collapsed="false">
      <c r="A19" s="27" t="s">
        <v>144</v>
      </c>
      <c r="B19" s="27" t="s">
        <v>130</v>
      </c>
      <c r="C19" s="27" t="s">
        <v>145</v>
      </c>
      <c r="D19" s="28" t="s">
        <v>146</v>
      </c>
      <c r="E19" s="24" t="s">
        <v>11</v>
      </c>
      <c r="F19" s="28" t="s">
        <v>147</v>
      </c>
      <c r="G19" s="27" t="s">
        <v>129</v>
      </c>
      <c r="H19" s="27" t="n">
        <v>8</v>
      </c>
      <c r="I19" s="34" t="s">
        <v>121</v>
      </c>
      <c r="J19" s="26" t="s">
        <v>59</v>
      </c>
      <c r="K19" s="28" t="s">
        <v>148</v>
      </c>
    </row>
    <row r="20" customFormat="false" ht="37.5" hidden="false" customHeight="true" outlineLevel="0" collapsed="false">
      <c r="A20" s="22" t="s">
        <v>149</v>
      </c>
      <c r="B20" s="22" t="s">
        <v>130</v>
      </c>
      <c r="C20" s="22" t="s">
        <v>150</v>
      </c>
      <c r="D20" s="23" t="s">
        <v>151</v>
      </c>
      <c r="E20" s="24" t="s">
        <v>11</v>
      </c>
      <c r="F20" s="23" t="s">
        <v>152</v>
      </c>
      <c r="G20" s="22" t="s">
        <v>129</v>
      </c>
      <c r="H20" s="22" t="n">
        <v>5</v>
      </c>
      <c r="I20" s="35" t="s">
        <v>127</v>
      </c>
      <c r="J20" s="26" t="s">
        <v>59</v>
      </c>
      <c r="K20" s="23" t="s">
        <v>153</v>
      </c>
    </row>
    <row r="21" customFormat="false" ht="37.5" hidden="false" customHeight="true" outlineLevel="0" collapsed="false">
      <c r="A21" s="27" t="s">
        <v>154</v>
      </c>
      <c r="B21" s="27" t="s">
        <v>130</v>
      </c>
      <c r="C21" s="27" t="s">
        <v>155</v>
      </c>
      <c r="D21" s="28" t="s">
        <v>156</v>
      </c>
      <c r="E21" s="30" t="s">
        <v>12</v>
      </c>
      <c r="F21" s="28" t="s">
        <v>157</v>
      </c>
      <c r="G21" s="27" t="s">
        <v>129</v>
      </c>
      <c r="H21" s="27" t="n">
        <v>3</v>
      </c>
      <c r="I21" s="35" t="s">
        <v>127</v>
      </c>
      <c r="J21" s="26" t="s">
        <v>59</v>
      </c>
      <c r="K21" s="28" t="s">
        <v>158</v>
      </c>
    </row>
    <row r="22" customFormat="false" ht="37.5" hidden="false" customHeight="true" outlineLevel="0" collapsed="false">
      <c r="A22" s="22" t="s">
        <v>159</v>
      </c>
      <c r="B22" s="22" t="s">
        <v>130</v>
      </c>
      <c r="C22" s="22" t="s">
        <v>160</v>
      </c>
      <c r="D22" s="23" t="s">
        <v>161</v>
      </c>
      <c r="E22" s="30" t="s">
        <v>12</v>
      </c>
      <c r="F22" s="23" t="s">
        <v>162</v>
      </c>
      <c r="G22" s="22" t="s">
        <v>57</v>
      </c>
      <c r="H22" s="22" t="n">
        <v>8</v>
      </c>
      <c r="I22" s="36" t="s">
        <v>163</v>
      </c>
      <c r="J22" s="26" t="s">
        <v>59</v>
      </c>
      <c r="K22" s="23" t="s">
        <v>164</v>
      </c>
    </row>
    <row r="23" customFormat="false" ht="37.5" hidden="false" customHeight="true" outlineLevel="0" collapsed="false">
      <c r="A23" s="27" t="s">
        <v>165</v>
      </c>
      <c r="B23" s="27" t="s">
        <v>166</v>
      </c>
      <c r="C23" s="27" t="s">
        <v>167</v>
      </c>
      <c r="D23" s="28" t="s">
        <v>168</v>
      </c>
      <c r="E23" s="24" t="s">
        <v>11</v>
      </c>
      <c r="F23" s="28" t="s">
        <v>169</v>
      </c>
      <c r="G23" s="27" t="s">
        <v>129</v>
      </c>
      <c r="H23" s="27" t="n">
        <v>5</v>
      </c>
      <c r="I23" s="32" t="s">
        <v>95</v>
      </c>
      <c r="J23" s="26" t="s">
        <v>59</v>
      </c>
      <c r="K23" s="28" t="s">
        <v>170</v>
      </c>
    </row>
    <row r="24" customFormat="false" ht="37.5" hidden="false" customHeight="true" outlineLevel="0" collapsed="false">
      <c r="A24" s="22" t="s">
        <v>171</v>
      </c>
      <c r="B24" s="22" t="s">
        <v>166</v>
      </c>
      <c r="C24" s="22" t="s">
        <v>172</v>
      </c>
      <c r="D24" s="23" t="s">
        <v>173</v>
      </c>
      <c r="E24" s="30" t="s">
        <v>12</v>
      </c>
      <c r="F24" s="23" t="s">
        <v>174</v>
      </c>
      <c r="G24" s="22" t="s">
        <v>129</v>
      </c>
      <c r="H24" s="22" t="n">
        <v>3</v>
      </c>
      <c r="I24" s="32" t="s">
        <v>95</v>
      </c>
      <c r="J24" s="26" t="s">
        <v>59</v>
      </c>
      <c r="K24" s="23" t="s">
        <v>175</v>
      </c>
    </row>
    <row r="25" customFormat="false" ht="37.5" hidden="false" customHeight="true" outlineLevel="0" collapsed="false">
      <c r="A25" s="27" t="s">
        <v>176</v>
      </c>
      <c r="B25" s="27" t="s">
        <v>166</v>
      </c>
      <c r="C25" s="27" t="s">
        <v>177</v>
      </c>
      <c r="D25" s="28" t="s">
        <v>178</v>
      </c>
      <c r="E25" s="30" t="s">
        <v>12</v>
      </c>
      <c r="F25" s="28" t="s">
        <v>179</v>
      </c>
      <c r="G25" s="27" t="s">
        <v>129</v>
      </c>
      <c r="H25" s="27" t="n">
        <v>8</v>
      </c>
      <c r="I25" s="35" t="s">
        <v>127</v>
      </c>
      <c r="J25" s="26" t="s">
        <v>59</v>
      </c>
      <c r="K25" s="28" t="s">
        <v>180</v>
      </c>
    </row>
    <row r="26" customFormat="false" ht="37.5" hidden="false" customHeight="true" outlineLevel="0" collapsed="false">
      <c r="A26" s="22" t="s">
        <v>181</v>
      </c>
      <c r="B26" s="22" t="s">
        <v>166</v>
      </c>
      <c r="C26" s="22" t="s">
        <v>182</v>
      </c>
      <c r="D26" s="23" t="s">
        <v>183</v>
      </c>
      <c r="E26" s="24" t="s">
        <v>11</v>
      </c>
      <c r="F26" s="23" t="s">
        <v>184</v>
      </c>
      <c r="G26" s="22" t="s">
        <v>57</v>
      </c>
      <c r="H26" s="22" t="n">
        <v>5</v>
      </c>
      <c r="I26" s="31" t="s">
        <v>84</v>
      </c>
      <c r="J26" s="26" t="s">
        <v>59</v>
      </c>
      <c r="K26" s="23" t="s">
        <v>185</v>
      </c>
    </row>
    <row r="27" customFormat="false" ht="37.5" hidden="false" customHeight="true" outlineLevel="0" collapsed="false">
      <c r="A27" s="27" t="s">
        <v>186</v>
      </c>
      <c r="B27" s="27" t="s">
        <v>166</v>
      </c>
      <c r="C27" s="27" t="s">
        <v>187</v>
      </c>
      <c r="D27" s="28" t="s">
        <v>188</v>
      </c>
      <c r="E27" s="24" t="s">
        <v>11</v>
      </c>
      <c r="F27" s="28" t="s">
        <v>189</v>
      </c>
      <c r="G27" s="27" t="s">
        <v>129</v>
      </c>
      <c r="H27" s="27" t="n">
        <v>5</v>
      </c>
      <c r="I27" s="32" t="s">
        <v>95</v>
      </c>
      <c r="J27" s="26" t="s">
        <v>59</v>
      </c>
      <c r="K27" s="28" t="s">
        <v>190</v>
      </c>
    </row>
    <row r="28" customFormat="false" ht="37.5" hidden="false" customHeight="true" outlineLevel="0" collapsed="false">
      <c r="A28" s="22" t="s">
        <v>191</v>
      </c>
      <c r="B28" s="22" t="s">
        <v>166</v>
      </c>
      <c r="C28" s="22" t="s">
        <v>192</v>
      </c>
      <c r="D28" s="23" t="s">
        <v>193</v>
      </c>
      <c r="E28" s="33" t="s">
        <v>13</v>
      </c>
      <c r="F28" s="23" t="s">
        <v>194</v>
      </c>
      <c r="G28" s="22" t="s">
        <v>129</v>
      </c>
      <c r="H28" s="22" t="n">
        <v>13</v>
      </c>
      <c r="I28" s="37" t="s">
        <v>195</v>
      </c>
      <c r="J28" s="26" t="s">
        <v>59</v>
      </c>
      <c r="K28" s="23" t="s">
        <v>196</v>
      </c>
    </row>
    <row r="29" customFormat="false" ht="37.5" hidden="false" customHeight="true" outlineLevel="0" collapsed="false">
      <c r="A29" s="27" t="s">
        <v>197</v>
      </c>
      <c r="B29" s="27" t="s">
        <v>198</v>
      </c>
      <c r="C29" s="27" t="s">
        <v>199</v>
      </c>
      <c r="D29" s="28" t="s">
        <v>200</v>
      </c>
      <c r="E29" s="24" t="s">
        <v>11</v>
      </c>
      <c r="F29" s="28" t="s">
        <v>201</v>
      </c>
      <c r="G29" s="27" t="s">
        <v>57</v>
      </c>
      <c r="H29" s="27" t="n">
        <v>8</v>
      </c>
      <c r="I29" s="29" t="s">
        <v>69</v>
      </c>
      <c r="J29" s="26" t="s">
        <v>59</v>
      </c>
      <c r="K29" s="28" t="s">
        <v>202</v>
      </c>
    </row>
    <row r="30" customFormat="false" ht="37.5" hidden="false" customHeight="true" outlineLevel="0" collapsed="false">
      <c r="A30" s="22" t="s">
        <v>203</v>
      </c>
      <c r="B30" s="22" t="s">
        <v>198</v>
      </c>
      <c r="C30" s="22" t="s">
        <v>204</v>
      </c>
      <c r="D30" s="23" t="s">
        <v>205</v>
      </c>
      <c r="E30" s="24" t="s">
        <v>11</v>
      </c>
      <c r="F30" s="23" t="s">
        <v>206</v>
      </c>
      <c r="G30" s="22" t="s">
        <v>57</v>
      </c>
      <c r="H30" s="22" t="n">
        <v>5</v>
      </c>
      <c r="I30" s="29" t="s">
        <v>69</v>
      </c>
      <c r="J30" s="26" t="s">
        <v>59</v>
      </c>
      <c r="K30" s="23" t="s">
        <v>207</v>
      </c>
    </row>
    <row r="31" customFormat="false" ht="37.5" hidden="false" customHeight="true" outlineLevel="0" collapsed="false">
      <c r="A31" s="27" t="s">
        <v>208</v>
      </c>
      <c r="B31" s="27" t="s">
        <v>198</v>
      </c>
      <c r="C31" s="27" t="s">
        <v>209</v>
      </c>
      <c r="D31" s="28" t="s">
        <v>210</v>
      </c>
      <c r="E31" s="24" t="s">
        <v>11</v>
      </c>
      <c r="F31" s="28" t="s">
        <v>211</v>
      </c>
      <c r="G31" s="27" t="s">
        <v>57</v>
      </c>
      <c r="H31" s="27" t="n">
        <v>3</v>
      </c>
      <c r="I31" s="31" t="s">
        <v>84</v>
      </c>
      <c r="J31" s="26" t="s">
        <v>59</v>
      </c>
      <c r="K31" s="28" t="s">
        <v>212</v>
      </c>
    </row>
    <row r="32" customFormat="false" ht="37.5" hidden="false" customHeight="true" outlineLevel="0" collapsed="false">
      <c r="A32" s="22" t="s">
        <v>213</v>
      </c>
      <c r="B32" s="22" t="s">
        <v>198</v>
      </c>
      <c r="C32" s="22" t="s">
        <v>214</v>
      </c>
      <c r="D32" s="23" t="s">
        <v>215</v>
      </c>
      <c r="E32" s="24" t="s">
        <v>11</v>
      </c>
      <c r="F32" s="23" t="s">
        <v>216</v>
      </c>
      <c r="G32" s="22" t="s">
        <v>57</v>
      </c>
      <c r="H32" s="22" t="n">
        <v>3</v>
      </c>
      <c r="I32" s="31" t="s">
        <v>84</v>
      </c>
      <c r="J32" s="26" t="s">
        <v>59</v>
      </c>
      <c r="K32" s="23" t="s">
        <v>217</v>
      </c>
    </row>
    <row r="33" customFormat="false" ht="37.5" hidden="false" customHeight="true" outlineLevel="0" collapsed="false">
      <c r="A33" s="27" t="s">
        <v>218</v>
      </c>
      <c r="B33" s="27" t="s">
        <v>198</v>
      </c>
      <c r="C33" s="27" t="s">
        <v>219</v>
      </c>
      <c r="D33" s="28" t="s">
        <v>220</v>
      </c>
      <c r="E33" s="24" t="s">
        <v>11</v>
      </c>
      <c r="F33" s="28" t="s">
        <v>221</v>
      </c>
      <c r="G33" s="27" t="s">
        <v>57</v>
      </c>
      <c r="H33" s="27" t="n">
        <v>8</v>
      </c>
      <c r="I33" s="29" t="s">
        <v>69</v>
      </c>
      <c r="J33" s="26" t="s">
        <v>59</v>
      </c>
      <c r="K33" s="28" t="s">
        <v>222</v>
      </c>
    </row>
    <row r="34" customFormat="false" ht="37.5" hidden="false" customHeight="true" outlineLevel="0" collapsed="false">
      <c r="A34" s="22" t="s">
        <v>223</v>
      </c>
      <c r="B34" s="22" t="s">
        <v>198</v>
      </c>
      <c r="C34" s="22" t="s">
        <v>224</v>
      </c>
      <c r="D34" s="23" t="s">
        <v>225</v>
      </c>
      <c r="E34" s="24" t="s">
        <v>11</v>
      </c>
      <c r="F34" s="23" t="s">
        <v>226</v>
      </c>
      <c r="G34" s="22" t="s">
        <v>57</v>
      </c>
      <c r="H34" s="22" t="n">
        <v>3</v>
      </c>
      <c r="I34" s="29" t="s">
        <v>69</v>
      </c>
      <c r="J34" s="26" t="s">
        <v>59</v>
      </c>
      <c r="K34" s="23" t="s">
        <v>227</v>
      </c>
    </row>
    <row r="35" customFormat="false" ht="37.5" hidden="false" customHeight="true" outlineLevel="0" collapsed="false">
      <c r="A35" s="27" t="s">
        <v>228</v>
      </c>
      <c r="B35" s="27" t="s">
        <v>229</v>
      </c>
      <c r="C35" s="27" t="s">
        <v>230</v>
      </c>
      <c r="D35" s="28" t="s">
        <v>231</v>
      </c>
      <c r="E35" s="24" t="s">
        <v>11</v>
      </c>
      <c r="F35" s="28" t="s">
        <v>232</v>
      </c>
      <c r="G35" s="27" t="s">
        <v>57</v>
      </c>
      <c r="H35" s="27" t="n">
        <v>8</v>
      </c>
      <c r="I35" s="34" t="s">
        <v>121</v>
      </c>
      <c r="J35" s="26" t="s">
        <v>59</v>
      </c>
      <c r="K35" s="28" t="s">
        <v>233</v>
      </c>
    </row>
    <row r="36" customFormat="false" ht="37.5" hidden="false" customHeight="true" outlineLevel="0" collapsed="false">
      <c r="A36" s="22" t="s">
        <v>234</v>
      </c>
      <c r="B36" s="22" t="s">
        <v>229</v>
      </c>
      <c r="C36" s="22" t="s">
        <v>235</v>
      </c>
      <c r="D36" s="23" t="s">
        <v>236</v>
      </c>
      <c r="E36" s="24" t="s">
        <v>11</v>
      </c>
      <c r="F36" s="23" t="s">
        <v>237</v>
      </c>
      <c r="G36" s="22" t="s">
        <v>57</v>
      </c>
      <c r="H36" s="22" t="n">
        <v>8</v>
      </c>
      <c r="I36" s="34" t="s">
        <v>121</v>
      </c>
      <c r="J36" s="26" t="s">
        <v>59</v>
      </c>
      <c r="K36" s="23" t="s">
        <v>238</v>
      </c>
    </row>
    <row r="37" customFormat="false" ht="37.5" hidden="false" customHeight="true" outlineLevel="0" collapsed="false">
      <c r="A37" s="27" t="s">
        <v>239</v>
      </c>
      <c r="B37" s="27" t="s">
        <v>229</v>
      </c>
      <c r="C37" s="27" t="s">
        <v>240</v>
      </c>
      <c r="D37" s="28" t="s">
        <v>241</v>
      </c>
      <c r="E37" s="30" t="s">
        <v>12</v>
      </c>
      <c r="F37" s="28" t="s">
        <v>242</v>
      </c>
      <c r="G37" s="27" t="s">
        <v>234</v>
      </c>
      <c r="H37" s="27" t="n">
        <v>8</v>
      </c>
      <c r="I37" s="36" t="s">
        <v>163</v>
      </c>
      <c r="J37" s="26" t="s">
        <v>59</v>
      </c>
      <c r="K37" s="28" t="s">
        <v>243</v>
      </c>
    </row>
    <row r="38" customFormat="false" ht="37.5" hidden="false" customHeight="true" outlineLevel="0" collapsed="false">
      <c r="A38" s="22" t="s">
        <v>244</v>
      </c>
      <c r="B38" s="22" t="s">
        <v>229</v>
      </c>
      <c r="C38" s="22" t="s">
        <v>245</v>
      </c>
      <c r="D38" s="23" t="s">
        <v>246</v>
      </c>
      <c r="E38" s="30" t="s">
        <v>12</v>
      </c>
      <c r="F38" s="23" t="s">
        <v>247</v>
      </c>
      <c r="G38" s="22" t="s">
        <v>57</v>
      </c>
      <c r="H38" s="22" t="n">
        <v>5</v>
      </c>
      <c r="I38" s="36" t="s">
        <v>163</v>
      </c>
      <c r="J38" s="26" t="s">
        <v>59</v>
      </c>
      <c r="K38" s="23" t="s">
        <v>248</v>
      </c>
    </row>
    <row r="39" customFormat="false" ht="37.5" hidden="false" customHeight="true" outlineLevel="0" collapsed="false">
      <c r="A39" s="27" t="s">
        <v>249</v>
      </c>
      <c r="B39" s="27" t="s">
        <v>229</v>
      </c>
      <c r="C39" s="27" t="s">
        <v>250</v>
      </c>
      <c r="D39" s="28" t="s">
        <v>251</v>
      </c>
      <c r="E39" s="24" t="s">
        <v>11</v>
      </c>
      <c r="F39" s="28" t="s">
        <v>252</v>
      </c>
      <c r="G39" s="27" t="s">
        <v>234</v>
      </c>
      <c r="H39" s="27" t="n">
        <v>5</v>
      </c>
      <c r="I39" s="34" t="s">
        <v>121</v>
      </c>
      <c r="J39" s="26" t="s">
        <v>59</v>
      </c>
      <c r="K39" s="28" t="s">
        <v>253</v>
      </c>
    </row>
    <row r="40" customFormat="false" ht="37.5" hidden="false" customHeight="true" outlineLevel="0" collapsed="false">
      <c r="A40" s="22" t="s">
        <v>254</v>
      </c>
      <c r="B40" s="22" t="s">
        <v>229</v>
      </c>
      <c r="C40" s="22" t="s">
        <v>255</v>
      </c>
      <c r="D40" s="23" t="s">
        <v>256</v>
      </c>
      <c r="E40" s="30" t="s">
        <v>12</v>
      </c>
      <c r="F40" s="23" t="s">
        <v>257</v>
      </c>
      <c r="G40" s="22" t="s">
        <v>57</v>
      </c>
      <c r="H40" s="22" t="n">
        <v>5</v>
      </c>
      <c r="I40" s="36" t="s">
        <v>163</v>
      </c>
      <c r="J40" s="26" t="s">
        <v>59</v>
      </c>
      <c r="K40" s="23" t="s">
        <v>258</v>
      </c>
    </row>
    <row r="41" customFormat="false" ht="37.5" hidden="false" customHeight="true" outlineLevel="0" collapsed="false">
      <c r="A41" s="27" t="s">
        <v>259</v>
      </c>
      <c r="B41" s="27" t="s">
        <v>260</v>
      </c>
      <c r="C41" s="27" t="s">
        <v>261</v>
      </c>
      <c r="D41" s="28" t="s">
        <v>262</v>
      </c>
      <c r="E41" s="30" t="s">
        <v>12</v>
      </c>
      <c r="F41" s="28" t="s">
        <v>263</v>
      </c>
      <c r="G41" s="27" t="s">
        <v>57</v>
      </c>
      <c r="H41" s="27" t="n">
        <v>8</v>
      </c>
      <c r="I41" s="31" t="s">
        <v>264</v>
      </c>
      <c r="J41" s="26" t="s">
        <v>59</v>
      </c>
      <c r="K41" s="28" t="s">
        <v>265</v>
      </c>
    </row>
    <row r="42" customFormat="false" ht="37.5" hidden="false" customHeight="true" outlineLevel="0" collapsed="false">
      <c r="A42" s="22" t="s">
        <v>266</v>
      </c>
      <c r="B42" s="22" t="s">
        <v>260</v>
      </c>
      <c r="C42" s="22" t="s">
        <v>267</v>
      </c>
      <c r="D42" s="23" t="s">
        <v>268</v>
      </c>
      <c r="E42" s="30" t="s">
        <v>12</v>
      </c>
      <c r="F42" s="23" t="s">
        <v>269</v>
      </c>
      <c r="G42" s="22" t="s">
        <v>57</v>
      </c>
      <c r="H42" s="22" t="n">
        <v>8</v>
      </c>
      <c r="I42" s="31" t="s">
        <v>264</v>
      </c>
      <c r="J42" s="26" t="s">
        <v>59</v>
      </c>
      <c r="K42" s="23" t="s">
        <v>270</v>
      </c>
    </row>
    <row r="43" customFormat="false" ht="37.5" hidden="false" customHeight="true" outlineLevel="0" collapsed="false">
      <c r="A43" s="27" t="s">
        <v>271</v>
      </c>
      <c r="B43" s="27" t="s">
        <v>260</v>
      </c>
      <c r="C43" s="27" t="s">
        <v>272</v>
      </c>
      <c r="D43" s="28" t="s">
        <v>273</v>
      </c>
      <c r="E43" s="33" t="s">
        <v>13</v>
      </c>
      <c r="F43" s="28" t="s">
        <v>274</v>
      </c>
      <c r="G43" s="27" t="s">
        <v>57</v>
      </c>
      <c r="H43" s="27" t="n">
        <v>13</v>
      </c>
      <c r="I43" s="37" t="s">
        <v>195</v>
      </c>
      <c r="J43" s="26" t="s">
        <v>59</v>
      </c>
      <c r="K43" s="28" t="s">
        <v>275</v>
      </c>
    </row>
    <row r="44" customFormat="false" ht="37.5" hidden="false" customHeight="true" outlineLevel="0" collapsed="false">
      <c r="A44" s="22" t="s">
        <v>276</v>
      </c>
      <c r="B44" s="22" t="s">
        <v>260</v>
      </c>
      <c r="C44" s="22" t="s">
        <v>277</v>
      </c>
      <c r="D44" s="23" t="s">
        <v>278</v>
      </c>
      <c r="E44" s="33" t="s">
        <v>13</v>
      </c>
      <c r="F44" s="23" t="s">
        <v>279</v>
      </c>
      <c r="G44" s="22" t="s">
        <v>57</v>
      </c>
      <c r="H44" s="22" t="n">
        <v>21</v>
      </c>
      <c r="I44" s="37" t="s">
        <v>195</v>
      </c>
      <c r="J44" s="26" t="s">
        <v>59</v>
      </c>
      <c r="K44" s="23" t="s">
        <v>280</v>
      </c>
    </row>
    <row r="45" customFormat="false" ht="37.5" hidden="false" customHeight="true" outlineLevel="0" collapsed="false">
      <c r="A45" s="27" t="s">
        <v>281</v>
      </c>
      <c r="B45" s="27" t="s">
        <v>260</v>
      </c>
      <c r="C45" s="27" t="s">
        <v>282</v>
      </c>
      <c r="D45" s="28" t="s">
        <v>283</v>
      </c>
      <c r="E45" s="24" t="s">
        <v>11</v>
      </c>
      <c r="F45" s="28" t="s">
        <v>284</v>
      </c>
      <c r="G45" s="27" t="s">
        <v>57</v>
      </c>
      <c r="H45" s="27" t="n">
        <v>5</v>
      </c>
      <c r="I45" s="35" t="s">
        <v>127</v>
      </c>
      <c r="J45" s="26" t="s">
        <v>59</v>
      </c>
      <c r="K45" s="28" t="s">
        <v>285</v>
      </c>
    </row>
    <row r="46" customFormat="false" ht="37.5" hidden="false" customHeight="true" outlineLevel="0" collapsed="false">
      <c r="A46" s="22" t="s">
        <v>286</v>
      </c>
      <c r="B46" s="22" t="s">
        <v>287</v>
      </c>
      <c r="C46" s="22" t="s">
        <v>288</v>
      </c>
      <c r="D46" s="23" t="s">
        <v>289</v>
      </c>
      <c r="E46" s="24" t="s">
        <v>11</v>
      </c>
      <c r="F46" s="23" t="s">
        <v>290</v>
      </c>
      <c r="G46" s="22" t="s">
        <v>57</v>
      </c>
      <c r="H46" s="22" t="n">
        <v>8</v>
      </c>
      <c r="I46" s="31" t="s">
        <v>84</v>
      </c>
      <c r="J46" s="26" t="s">
        <v>59</v>
      </c>
      <c r="K46" s="23" t="s">
        <v>291</v>
      </c>
    </row>
    <row r="47" customFormat="false" ht="37.5" hidden="false" customHeight="true" outlineLevel="0" collapsed="false">
      <c r="A47" s="27" t="s">
        <v>292</v>
      </c>
      <c r="B47" s="27" t="s">
        <v>287</v>
      </c>
      <c r="C47" s="27" t="s">
        <v>293</v>
      </c>
      <c r="D47" s="28" t="s">
        <v>294</v>
      </c>
      <c r="E47" s="24" t="s">
        <v>11</v>
      </c>
      <c r="F47" s="28" t="s">
        <v>295</v>
      </c>
      <c r="G47" s="27" t="s">
        <v>57</v>
      </c>
      <c r="H47" s="27" t="n">
        <v>5</v>
      </c>
      <c r="I47" s="31" t="s">
        <v>84</v>
      </c>
      <c r="J47" s="26" t="s">
        <v>59</v>
      </c>
      <c r="K47" s="28" t="s">
        <v>296</v>
      </c>
    </row>
    <row r="48" customFormat="false" ht="37.5" hidden="false" customHeight="true" outlineLevel="0" collapsed="false">
      <c r="A48" s="22" t="s">
        <v>297</v>
      </c>
      <c r="B48" s="22" t="s">
        <v>287</v>
      </c>
      <c r="C48" s="22" t="s">
        <v>298</v>
      </c>
      <c r="D48" s="23" t="s">
        <v>299</v>
      </c>
      <c r="E48" s="24" t="s">
        <v>11</v>
      </c>
      <c r="F48" s="23" t="s">
        <v>300</v>
      </c>
      <c r="G48" s="22" t="s">
        <v>57</v>
      </c>
      <c r="H48" s="22" t="n">
        <v>8</v>
      </c>
      <c r="I48" s="32" t="s">
        <v>95</v>
      </c>
      <c r="J48" s="26" t="s">
        <v>59</v>
      </c>
      <c r="K48" s="23" t="s">
        <v>301</v>
      </c>
    </row>
    <row r="49" customFormat="false" ht="37.5" hidden="false" customHeight="true" outlineLevel="0" collapsed="false">
      <c r="A49" s="27" t="s">
        <v>302</v>
      </c>
      <c r="B49" s="27" t="s">
        <v>287</v>
      </c>
      <c r="C49" s="27" t="s">
        <v>303</v>
      </c>
      <c r="D49" s="28" t="s">
        <v>304</v>
      </c>
      <c r="E49" s="30" t="s">
        <v>12</v>
      </c>
      <c r="F49" s="28" t="s">
        <v>305</v>
      </c>
      <c r="G49" s="27" t="s">
        <v>57</v>
      </c>
      <c r="H49" s="27" t="n">
        <v>3</v>
      </c>
      <c r="I49" s="32" t="s">
        <v>95</v>
      </c>
      <c r="J49" s="26" t="s">
        <v>59</v>
      </c>
      <c r="K49" s="28" t="s">
        <v>306</v>
      </c>
    </row>
    <row r="50" customFormat="false" ht="37.5" hidden="false" customHeight="true" outlineLevel="0" collapsed="false">
      <c r="A50" s="22" t="s">
        <v>307</v>
      </c>
      <c r="B50" s="22" t="s">
        <v>287</v>
      </c>
      <c r="C50" s="22" t="s">
        <v>308</v>
      </c>
      <c r="D50" s="23" t="s">
        <v>309</v>
      </c>
      <c r="E50" s="30" t="s">
        <v>12</v>
      </c>
      <c r="F50" s="23" t="s">
        <v>310</v>
      </c>
      <c r="G50" s="22" t="s">
        <v>57</v>
      </c>
      <c r="H50" s="22" t="n">
        <v>8</v>
      </c>
      <c r="I50" s="34" t="s">
        <v>121</v>
      </c>
      <c r="J50" s="26" t="s">
        <v>59</v>
      </c>
      <c r="K50" s="23" t="s">
        <v>311</v>
      </c>
    </row>
    <row r="51" customFormat="false" ht="37.5" hidden="false" customHeight="true" outlineLevel="0" collapsed="false">
      <c r="A51" s="27" t="s">
        <v>312</v>
      </c>
      <c r="B51" s="27" t="s">
        <v>287</v>
      </c>
      <c r="C51" s="27" t="s">
        <v>313</v>
      </c>
      <c r="D51" s="28" t="s">
        <v>314</v>
      </c>
      <c r="E51" s="30" t="s">
        <v>12</v>
      </c>
      <c r="F51" s="28" t="s">
        <v>315</v>
      </c>
      <c r="G51" s="27" t="s">
        <v>57</v>
      </c>
      <c r="H51" s="27" t="n">
        <v>5</v>
      </c>
      <c r="I51" s="36" t="s">
        <v>163</v>
      </c>
      <c r="J51" s="26" t="s">
        <v>59</v>
      </c>
      <c r="K51" s="28" t="s">
        <v>316</v>
      </c>
    </row>
    <row r="52" customFormat="false" ht="37.5" hidden="false" customHeight="true" outlineLevel="0" collapsed="false">
      <c r="A52" s="22" t="s">
        <v>317</v>
      </c>
      <c r="B52" s="22" t="s">
        <v>318</v>
      </c>
      <c r="C52" s="22" t="s">
        <v>319</v>
      </c>
      <c r="D52" s="23" t="s">
        <v>320</v>
      </c>
      <c r="E52" s="24" t="s">
        <v>11</v>
      </c>
      <c r="F52" s="23" t="s">
        <v>321</v>
      </c>
      <c r="G52" s="22" t="s">
        <v>57</v>
      </c>
      <c r="H52" s="22" t="n">
        <v>3</v>
      </c>
      <c r="I52" s="35" t="s">
        <v>127</v>
      </c>
      <c r="J52" s="26" t="s">
        <v>59</v>
      </c>
      <c r="K52" s="23" t="s">
        <v>322</v>
      </c>
    </row>
    <row r="53" customFormat="false" ht="37.5" hidden="false" customHeight="true" outlineLevel="0" collapsed="false">
      <c r="A53" s="27" t="s">
        <v>323</v>
      </c>
      <c r="B53" s="27" t="s">
        <v>318</v>
      </c>
      <c r="C53" s="27" t="s">
        <v>324</v>
      </c>
      <c r="D53" s="28" t="s">
        <v>325</v>
      </c>
      <c r="E53" s="24" t="s">
        <v>11</v>
      </c>
      <c r="F53" s="28" t="s">
        <v>326</v>
      </c>
      <c r="G53" s="27" t="s">
        <v>57</v>
      </c>
      <c r="H53" s="27" t="n">
        <v>5</v>
      </c>
      <c r="I53" s="35" t="s">
        <v>127</v>
      </c>
      <c r="J53" s="26" t="s">
        <v>59</v>
      </c>
      <c r="K53" s="28" t="s">
        <v>327</v>
      </c>
    </row>
    <row r="54" customFormat="false" ht="37.5" hidden="false" customHeight="true" outlineLevel="0" collapsed="false">
      <c r="A54" s="22" t="s">
        <v>328</v>
      </c>
      <c r="B54" s="22" t="s">
        <v>318</v>
      </c>
      <c r="C54" s="22" t="s">
        <v>329</v>
      </c>
      <c r="D54" s="23" t="s">
        <v>330</v>
      </c>
      <c r="E54" s="30" t="s">
        <v>12</v>
      </c>
      <c r="F54" s="23" t="s">
        <v>331</v>
      </c>
      <c r="G54" s="22" t="s">
        <v>57</v>
      </c>
      <c r="H54" s="22" t="n">
        <v>3</v>
      </c>
      <c r="I54" s="36" t="s">
        <v>163</v>
      </c>
      <c r="J54" s="26" t="s">
        <v>59</v>
      </c>
      <c r="K54" s="23" t="s">
        <v>332</v>
      </c>
    </row>
    <row r="55" customFormat="false" ht="37.5" hidden="false" customHeight="true" outlineLevel="0" collapsed="false">
      <c r="A55" s="27" t="s">
        <v>333</v>
      </c>
      <c r="B55" s="27" t="s">
        <v>318</v>
      </c>
      <c r="C55" s="27" t="s">
        <v>334</v>
      </c>
      <c r="D55" s="28" t="s">
        <v>335</v>
      </c>
      <c r="E55" s="30" t="s">
        <v>12</v>
      </c>
      <c r="F55" s="28" t="s">
        <v>336</v>
      </c>
      <c r="G55" s="27" t="s">
        <v>57</v>
      </c>
      <c r="H55" s="27" t="n">
        <v>5</v>
      </c>
      <c r="I55" s="36" t="s">
        <v>163</v>
      </c>
      <c r="J55" s="26" t="s">
        <v>59</v>
      </c>
      <c r="K55" s="28" t="s">
        <v>337</v>
      </c>
    </row>
    <row r="56" customFormat="false" ht="37.5" hidden="false" customHeight="true" outlineLevel="0" collapsed="false">
      <c r="A56" s="22" t="s">
        <v>338</v>
      </c>
      <c r="B56" s="22" t="s">
        <v>318</v>
      </c>
      <c r="C56" s="22" t="s">
        <v>339</v>
      </c>
      <c r="D56" s="23" t="s">
        <v>340</v>
      </c>
      <c r="E56" s="30" t="s">
        <v>12</v>
      </c>
      <c r="F56" s="23" t="s">
        <v>341</v>
      </c>
      <c r="G56" s="22" t="s">
        <v>57</v>
      </c>
      <c r="H56" s="22" t="n">
        <v>5</v>
      </c>
      <c r="I56" s="31" t="s">
        <v>264</v>
      </c>
      <c r="J56" s="26" t="s">
        <v>59</v>
      </c>
      <c r="K56" s="23" t="s">
        <v>342</v>
      </c>
    </row>
    <row r="57" customFormat="false" ht="37.5" hidden="false" customHeight="true" outlineLevel="0" collapsed="false">
      <c r="A57" s="27" t="s">
        <v>343</v>
      </c>
      <c r="B57" s="27" t="s">
        <v>344</v>
      </c>
      <c r="C57" s="27" t="s">
        <v>345</v>
      </c>
      <c r="D57" s="28" t="s">
        <v>346</v>
      </c>
      <c r="E57" s="24" t="s">
        <v>11</v>
      </c>
      <c r="F57" s="28" t="s">
        <v>347</v>
      </c>
      <c r="G57" s="27" t="s">
        <v>57</v>
      </c>
      <c r="H57" s="27" t="n">
        <v>13</v>
      </c>
      <c r="I57" s="31" t="s">
        <v>264</v>
      </c>
      <c r="J57" s="26" t="s">
        <v>59</v>
      </c>
      <c r="K57" s="28" t="s">
        <v>348</v>
      </c>
    </row>
    <row r="58" customFormat="false" ht="37.5" hidden="false" customHeight="true" outlineLevel="0" collapsed="false">
      <c r="A58" s="22" t="s">
        <v>349</v>
      </c>
      <c r="B58" s="22" t="s">
        <v>344</v>
      </c>
      <c r="C58" s="22" t="s">
        <v>350</v>
      </c>
      <c r="D58" s="23" t="s">
        <v>351</v>
      </c>
      <c r="E58" s="30" t="s">
        <v>12</v>
      </c>
      <c r="F58" s="23" t="s">
        <v>352</v>
      </c>
      <c r="G58" s="22" t="s">
        <v>57</v>
      </c>
      <c r="H58" s="22" t="n">
        <v>5</v>
      </c>
      <c r="I58" s="34" t="s">
        <v>121</v>
      </c>
      <c r="J58" s="26" t="s">
        <v>59</v>
      </c>
      <c r="K58" s="23" t="s">
        <v>353</v>
      </c>
    </row>
    <row r="59" customFormat="false" ht="37.5" hidden="false" customHeight="true" outlineLevel="0" collapsed="false">
      <c r="A59" s="27" t="s">
        <v>354</v>
      </c>
      <c r="B59" s="27" t="s">
        <v>344</v>
      </c>
      <c r="C59" s="27" t="s">
        <v>355</v>
      </c>
      <c r="D59" s="28" t="s">
        <v>356</v>
      </c>
      <c r="E59" s="30" t="s">
        <v>12</v>
      </c>
      <c r="F59" s="28" t="s">
        <v>357</v>
      </c>
      <c r="G59" s="27" t="s">
        <v>57</v>
      </c>
      <c r="H59" s="27" t="n">
        <v>3</v>
      </c>
      <c r="I59" s="34" t="s">
        <v>121</v>
      </c>
      <c r="J59" s="26" t="s">
        <v>59</v>
      </c>
      <c r="K59" s="28" t="s">
        <v>358</v>
      </c>
    </row>
    <row r="60" customFormat="false" ht="37.5" hidden="false" customHeight="true" outlineLevel="0" collapsed="false">
      <c r="A60" s="22" t="s">
        <v>359</v>
      </c>
      <c r="B60" s="22" t="s">
        <v>344</v>
      </c>
      <c r="C60" s="22" t="s">
        <v>360</v>
      </c>
      <c r="D60" s="23" t="s">
        <v>361</v>
      </c>
      <c r="E60" s="24" t="s">
        <v>11</v>
      </c>
      <c r="F60" s="23" t="s">
        <v>362</v>
      </c>
      <c r="G60" s="22" t="s">
        <v>57</v>
      </c>
      <c r="H60" s="22" t="n">
        <v>3</v>
      </c>
      <c r="I60" s="35" t="s">
        <v>127</v>
      </c>
      <c r="J60" s="26" t="s">
        <v>59</v>
      </c>
      <c r="K60" s="23" t="s">
        <v>363</v>
      </c>
    </row>
    <row r="61" customFormat="false" ht="37.5" hidden="false" customHeight="true" outlineLevel="0" collapsed="false">
      <c r="A61" s="27" t="s">
        <v>364</v>
      </c>
      <c r="B61" s="27" t="s">
        <v>344</v>
      </c>
      <c r="C61" s="27" t="s">
        <v>365</v>
      </c>
      <c r="D61" s="28" t="s">
        <v>366</v>
      </c>
      <c r="E61" s="24" t="s">
        <v>11</v>
      </c>
      <c r="F61" s="28" t="s">
        <v>367</v>
      </c>
      <c r="G61" s="27" t="s">
        <v>57</v>
      </c>
      <c r="H61" s="27" t="n">
        <v>3</v>
      </c>
      <c r="I61" s="32" t="s">
        <v>95</v>
      </c>
      <c r="J61" s="26" t="s">
        <v>59</v>
      </c>
      <c r="K61" s="28" t="s">
        <v>368</v>
      </c>
    </row>
    <row r="62" customFormat="false" ht="37.5" hidden="false" customHeight="true" outlineLevel="0" collapsed="false">
      <c r="A62" s="22" t="s">
        <v>369</v>
      </c>
      <c r="B62" s="22" t="s">
        <v>370</v>
      </c>
      <c r="C62" s="22" t="s">
        <v>371</v>
      </c>
      <c r="D62" s="23" t="s">
        <v>372</v>
      </c>
      <c r="E62" s="24" t="s">
        <v>11</v>
      </c>
      <c r="F62" s="23" t="s">
        <v>373</v>
      </c>
      <c r="G62" s="22" t="s">
        <v>57</v>
      </c>
      <c r="H62" s="22" t="n">
        <v>8</v>
      </c>
      <c r="I62" s="34" t="s">
        <v>121</v>
      </c>
      <c r="J62" s="26" t="s">
        <v>59</v>
      </c>
      <c r="K62" s="23" t="s">
        <v>374</v>
      </c>
    </row>
    <row r="63" customFormat="false" ht="37.5" hidden="false" customHeight="true" outlineLevel="0" collapsed="false">
      <c r="A63" s="27" t="s">
        <v>375</v>
      </c>
      <c r="B63" s="27" t="s">
        <v>370</v>
      </c>
      <c r="C63" s="27" t="s">
        <v>376</v>
      </c>
      <c r="D63" s="28" t="s">
        <v>377</v>
      </c>
      <c r="E63" s="24" t="s">
        <v>11</v>
      </c>
      <c r="F63" s="28" t="s">
        <v>378</v>
      </c>
      <c r="G63" s="27" t="s">
        <v>369</v>
      </c>
      <c r="H63" s="27" t="n">
        <v>8</v>
      </c>
      <c r="I63" s="36" t="s">
        <v>163</v>
      </c>
      <c r="J63" s="26" t="s">
        <v>59</v>
      </c>
      <c r="K63" s="28" t="s">
        <v>379</v>
      </c>
    </row>
    <row r="64" customFormat="false" ht="37.5" hidden="false" customHeight="true" outlineLevel="0" collapsed="false">
      <c r="A64" s="22" t="s">
        <v>380</v>
      </c>
      <c r="B64" s="22" t="s">
        <v>370</v>
      </c>
      <c r="C64" s="22" t="s">
        <v>381</v>
      </c>
      <c r="D64" s="23" t="s">
        <v>382</v>
      </c>
      <c r="E64" s="30" t="s">
        <v>12</v>
      </c>
      <c r="F64" s="23" t="s">
        <v>383</v>
      </c>
      <c r="G64" s="22" t="s">
        <v>57</v>
      </c>
      <c r="H64" s="22" t="n">
        <v>5</v>
      </c>
      <c r="I64" s="36" t="s">
        <v>163</v>
      </c>
      <c r="J64" s="26" t="s">
        <v>59</v>
      </c>
      <c r="K64" s="23" t="s">
        <v>384</v>
      </c>
    </row>
    <row r="65" customFormat="false" ht="37.5" hidden="false" customHeight="true" outlineLevel="0" collapsed="false">
      <c r="A65" s="27" t="s">
        <v>385</v>
      </c>
      <c r="B65" s="27" t="s">
        <v>370</v>
      </c>
      <c r="C65" s="27" t="s">
        <v>386</v>
      </c>
      <c r="D65" s="28" t="s">
        <v>387</v>
      </c>
      <c r="E65" s="30" t="s">
        <v>12</v>
      </c>
      <c r="F65" s="28" t="s">
        <v>388</v>
      </c>
      <c r="G65" s="27" t="s">
        <v>57</v>
      </c>
      <c r="H65" s="27" t="n">
        <v>13</v>
      </c>
      <c r="I65" s="31" t="s">
        <v>264</v>
      </c>
      <c r="J65" s="26" t="s">
        <v>59</v>
      </c>
      <c r="K65" s="28" t="s">
        <v>389</v>
      </c>
    </row>
    <row r="66" customFormat="false" ht="37.5" hidden="false" customHeight="true" outlineLevel="0" collapsed="false">
      <c r="A66" s="22" t="s">
        <v>390</v>
      </c>
      <c r="B66" s="22" t="s">
        <v>370</v>
      </c>
      <c r="C66" s="22" t="s">
        <v>391</v>
      </c>
      <c r="D66" s="23" t="s">
        <v>392</v>
      </c>
      <c r="E66" s="33" t="s">
        <v>13</v>
      </c>
      <c r="F66" s="23" t="s">
        <v>393</v>
      </c>
      <c r="G66" s="22" t="s">
        <v>375</v>
      </c>
      <c r="H66" s="22" t="n">
        <v>5</v>
      </c>
      <c r="I66" s="31" t="s">
        <v>264</v>
      </c>
      <c r="J66" s="26" t="s">
        <v>59</v>
      </c>
      <c r="K66" s="23" t="s">
        <v>394</v>
      </c>
    </row>
    <row r="67" customFormat="false" ht="37.5" hidden="false" customHeight="true" outlineLevel="0" collapsed="false">
      <c r="A67" s="27" t="s">
        <v>395</v>
      </c>
      <c r="B67" s="27" t="s">
        <v>396</v>
      </c>
      <c r="C67" s="27" t="s">
        <v>397</v>
      </c>
      <c r="D67" s="28" t="s">
        <v>398</v>
      </c>
      <c r="E67" s="24" t="s">
        <v>11</v>
      </c>
      <c r="F67" s="28" t="s">
        <v>399</v>
      </c>
      <c r="G67" s="27" t="s">
        <v>57</v>
      </c>
      <c r="H67" s="27" t="n">
        <v>5</v>
      </c>
      <c r="I67" s="31" t="s">
        <v>84</v>
      </c>
      <c r="J67" s="26" t="s">
        <v>59</v>
      </c>
      <c r="K67" s="28" t="s">
        <v>400</v>
      </c>
    </row>
    <row r="68" customFormat="false" ht="37.5" hidden="false" customHeight="true" outlineLevel="0" collapsed="false">
      <c r="A68" s="22" t="s">
        <v>401</v>
      </c>
      <c r="B68" s="22" t="s">
        <v>396</v>
      </c>
      <c r="C68" s="22" t="s">
        <v>402</v>
      </c>
      <c r="D68" s="23" t="s">
        <v>403</v>
      </c>
      <c r="E68" s="24" t="s">
        <v>11</v>
      </c>
      <c r="F68" s="23" t="s">
        <v>404</v>
      </c>
      <c r="G68" s="22" t="s">
        <v>57</v>
      </c>
      <c r="H68" s="22" t="n">
        <v>5</v>
      </c>
      <c r="I68" s="32" t="s">
        <v>95</v>
      </c>
      <c r="J68" s="26" t="s">
        <v>59</v>
      </c>
      <c r="K68" s="23" t="s">
        <v>405</v>
      </c>
    </row>
    <row r="69" customFormat="false" ht="37.5" hidden="false" customHeight="true" outlineLevel="0" collapsed="false">
      <c r="A69" s="27" t="s">
        <v>406</v>
      </c>
      <c r="B69" s="27" t="s">
        <v>396</v>
      </c>
      <c r="C69" s="27" t="s">
        <v>407</v>
      </c>
      <c r="D69" s="28" t="s">
        <v>408</v>
      </c>
      <c r="E69" s="30" t="s">
        <v>12</v>
      </c>
      <c r="F69" s="28" t="s">
        <v>409</v>
      </c>
      <c r="G69" s="27" t="s">
        <v>57</v>
      </c>
      <c r="H69" s="27" t="n">
        <v>2</v>
      </c>
      <c r="I69" s="35" t="s">
        <v>127</v>
      </c>
      <c r="J69" s="26" t="s">
        <v>59</v>
      </c>
      <c r="K69" s="28" t="s">
        <v>410</v>
      </c>
    </row>
    <row r="70" customFormat="false" ht="37.5" hidden="false" customHeight="true" outlineLevel="0" collapsed="false">
      <c r="A70" s="22" t="s">
        <v>411</v>
      </c>
      <c r="B70" s="22" t="s">
        <v>396</v>
      </c>
      <c r="C70" s="22" t="s">
        <v>412</v>
      </c>
      <c r="D70" s="23" t="s">
        <v>413</v>
      </c>
      <c r="E70" s="24" t="s">
        <v>11</v>
      </c>
      <c r="F70" s="23" t="s">
        <v>414</v>
      </c>
      <c r="G70" s="22" t="s">
        <v>57</v>
      </c>
      <c r="H70" s="22" t="n">
        <v>8</v>
      </c>
      <c r="I70" s="34" t="s">
        <v>121</v>
      </c>
      <c r="J70" s="26" t="s">
        <v>59</v>
      </c>
      <c r="K70" s="23" t="s">
        <v>415</v>
      </c>
    </row>
    <row r="71" customFormat="false" ht="37.5" hidden="false" customHeight="true" outlineLevel="0" collapsed="false">
      <c r="A71" s="27" t="s">
        <v>416</v>
      </c>
      <c r="B71" s="27" t="s">
        <v>396</v>
      </c>
      <c r="C71" s="27" t="s">
        <v>417</v>
      </c>
      <c r="D71" s="28" t="s">
        <v>418</v>
      </c>
      <c r="E71" s="30" t="s">
        <v>12</v>
      </c>
      <c r="F71" s="28" t="s">
        <v>419</v>
      </c>
      <c r="G71" s="27" t="s">
        <v>57</v>
      </c>
      <c r="H71" s="27" t="n">
        <v>8</v>
      </c>
      <c r="I71" s="31" t="s">
        <v>264</v>
      </c>
      <c r="J71" s="26" t="s">
        <v>59</v>
      </c>
      <c r="K71" s="28" t="s">
        <v>420</v>
      </c>
    </row>
    <row r="72" customFormat="false" ht="37.5" hidden="false" customHeight="true" outlineLevel="0" collapsed="false">
      <c r="A72" s="22" t="s">
        <v>421</v>
      </c>
      <c r="B72" s="22" t="s">
        <v>422</v>
      </c>
      <c r="C72" s="22" t="s">
        <v>423</v>
      </c>
      <c r="D72" s="23" t="s">
        <v>424</v>
      </c>
      <c r="E72" s="24" t="s">
        <v>11</v>
      </c>
      <c r="F72" s="23" t="s">
        <v>425</v>
      </c>
      <c r="G72" s="22" t="s">
        <v>57</v>
      </c>
      <c r="H72" s="22" t="n">
        <v>5</v>
      </c>
      <c r="I72" s="25" t="s">
        <v>58</v>
      </c>
      <c r="J72" s="26" t="s">
        <v>59</v>
      </c>
      <c r="K72" s="23" t="s">
        <v>426</v>
      </c>
    </row>
    <row r="73" customFormat="false" ht="37.5" hidden="false" customHeight="true" outlineLevel="0" collapsed="false">
      <c r="A73" s="27" t="s">
        <v>427</v>
      </c>
      <c r="B73" s="27" t="s">
        <v>422</v>
      </c>
      <c r="C73" s="27" t="s">
        <v>428</v>
      </c>
      <c r="D73" s="28" t="s">
        <v>429</v>
      </c>
      <c r="E73" s="24" t="s">
        <v>11</v>
      </c>
      <c r="F73" s="28" t="s">
        <v>430</v>
      </c>
      <c r="G73" s="27" t="s">
        <v>57</v>
      </c>
      <c r="H73" s="27" t="n">
        <v>8</v>
      </c>
      <c r="I73" s="35" t="s">
        <v>127</v>
      </c>
      <c r="J73" s="26" t="s">
        <v>59</v>
      </c>
      <c r="K73" s="28" t="s">
        <v>431</v>
      </c>
    </row>
    <row r="74" customFormat="false" ht="37.5" hidden="false" customHeight="true" outlineLevel="0" collapsed="false">
      <c r="A74" s="22" t="s">
        <v>432</v>
      </c>
      <c r="B74" s="22" t="s">
        <v>422</v>
      </c>
      <c r="C74" s="22" t="s">
        <v>433</v>
      </c>
      <c r="D74" s="23" t="s">
        <v>434</v>
      </c>
      <c r="E74" s="24" t="s">
        <v>11</v>
      </c>
      <c r="F74" s="23" t="s">
        <v>435</v>
      </c>
      <c r="G74" s="22" t="s">
        <v>57</v>
      </c>
      <c r="H74" s="22" t="n">
        <v>5</v>
      </c>
      <c r="I74" s="35" t="s">
        <v>127</v>
      </c>
      <c r="J74" s="26" t="s">
        <v>59</v>
      </c>
      <c r="K74" s="23" t="s">
        <v>436</v>
      </c>
    </row>
    <row r="75" customFormat="false" ht="37.5" hidden="false" customHeight="true" outlineLevel="0" collapsed="false">
      <c r="A75" s="27" t="s">
        <v>437</v>
      </c>
      <c r="B75" s="27" t="s">
        <v>422</v>
      </c>
      <c r="C75" s="27" t="s">
        <v>438</v>
      </c>
      <c r="D75" s="28" t="s">
        <v>439</v>
      </c>
      <c r="E75" s="24" t="s">
        <v>11</v>
      </c>
      <c r="F75" s="28" t="s">
        <v>440</v>
      </c>
      <c r="G75" s="27" t="s">
        <v>57</v>
      </c>
      <c r="H75" s="27" t="n">
        <v>5</v>
      </c>
      <c r="I75" s="32" t="s">
        <v>95</v>
      </c>
      <c r="J75" s="26" t="s">
        <v>59</v>
      </c>
      <c r="K75" s="28" t="s">
        <v>441</v>
      </c>
    </row>
    <row r="76" customFormat="false" ht="37.5" hidden="false" customHeight="true" outlineLevel="0" collapsed="false">
      <c r="A76" s="22" t="s">
        <v>442</v>
      </c>
      <c r="B76" s="22" t="s">
        <v>422</v>
      </c>
      <c r="C76" s="22" t="s">
        <v>443</v>
      </c>
      <c r="D76" s="23" t="s">
        <v>444</v>
      </c>
      <c r="E76" s="30" t="s">
        <v>12</v>
      </c>
      <c r="F76" s="23" t="s">
        <v>445</v>
      </c>
      <c r="G76" s="22" t="s">
        <v>57</v>
      </c>
      <c r="H76" s="22" t="n">
        <v>3</v>
      </c>
      <c r="I76" s="36" t="s">
        <v>163</v>
      </c>
      <c r="J76" s="26" t="s">
        <v>59</v>
      </c>
      <c r="K76" s="23" t="s">
        <v>446</v>
      </c>
    </row>
    <row r="77" customFormat="false" ht="37.5" hidden="false" customHeight="true" outlineLevel="0" collapsed="false">
      <c r="A77" s="27" t="s">
        <v>447</v>
      </c>
      <c r="B77" s="27" t="s">
        <v>422</v>
      </c>
      <c r="C77" s="27" t="s">
        <v>448</v>
      </c>
      <c r="D77" s="28" t="s">
        <v>449</v>
      </c>
      <c r="E77" s="30" t="s">
        <v>12</v>
      </c>
      <c r="F77" s="28" t="s">
        <v>450</v>
      </c>
      <c r="G77" s="27" t="s">
        <v>57</v>
      </c>
      <c r="H77" s="27" t="n">
        <v>3</v>
      </c>
      <c r="I77" s="34" t="s">
        <v>121</v>
      </c>
      <c r="J77" s="26" t="s">
        <v>59</v>
      </c>
      <c r="K77" s="28" t="s">
        <v>451</v>
      </c>
    </row>
    <row r="78" customFormat="false" ht="37.5" hidden="false" customHeight="true" outlineLevel="0" collapsed="false">
      <c r="A78" s="22" t="s">
        <v>452</v>
      </c>
      <c r="B78" s="22" t="s">
        <v>453</v>
      </c>
      <c r="C78" s="22" t="s">
        <v>454</v>
      </c>
      <c r="D78" s="23" t="s">
        <v>455</v>
      </c>
      <c r="E78" s="24" t="s">
        <v>11</v>
      </c>
      <c r="F78" s="23" t="s">
        <v>456</v>
      </c>
      <c r="G78" s="22" t="s">
        <v>57</v>
      </c>
      <c r="H78" s="22" t="n">
        <v>8</v>
      </c>
      <c r="I78" s="31" t="s">
        <v>264</v>
      </c>
      <c r="J78" s="26" t="s">
        <v>59</v>
      </c>
      <c r="K78" s="23" t="s">
        <v>457</v>
      </c>
    </row>
    <row r="79" customFormat="false" ht="37.5" hidden="false" customHeight="true" outlineLevel="0" collapsed="false">
      <c r="A79" s="27" t="s">
        <v>458</v>
      </c>
      <c r="B79" s="27" t="s">
        <v>453</v>
      </c>
      <c r="C79" s="27" t="s">
        <v>459</v>
      </c>
      <c r="D79" s="28" t="s">
        <v>460</v>
      </c>
      <c r="E79" s="30" t="s">
        <v>12</v>
      </c>
      <c r="F79" s="28" t="s">
        <v>461</v>
      </c>
      <c r="G79" s="27" t="s">
        <v>57</v>
      </c>
      <c r="H79" s="27" t="n">
        <v>5</v>
      </c>
      <c r="I79" s="36" t="s">
        <v>163</v>
      </c>
      <c r="J79" s="26" t="s">
        <v>59</v>
      </c>
      <c r="K79" s="28" t="s">
        <v>462</v>
      </c>
    </row>
    <row r="80" customFormat="false" ht="37.5" hidden="false" customHeight="true" outlineLevel="0" collapsed="false">
      <c r="A80" s="22" t="s">
        <v>463</v>
      </c>
      <c r="B80" s="22" t="s">
        <v>453</v>
      </c>
      <c r="C80" s="22" t="s">
        <v>464</v>
      </c>
      <c r="D80" s="23" t="s">
        <v>465</v>
      </c>
      <c r="E80" s="24" t="s">
        <v>11</v>
      </c>
      <c r="F80" s="23" t="s">
        <v>466</v>
      </c>
      <c r="G80" s="22" t="s">
        <v>57</v>
      </c>
      <c r="H80" s="22" t="n">
        <v>13</v>
      </c>
      <c r="I80" s="37" t="s">
        <v>195</v>
      </c>
      <c r="J80" s="26" t="s">
        <v>59</v>
      </c>
      <c r="K80" s="23" t="s">
        <v>467</v>
      </c>
    </row>
    <row r="81" customFormat="false" ht="37.5" hidden="false" customHeight="true" outlineLevel="0" collapsed="false">
      <c r="A81" s="27" t="s">
        <v>468</v>
      </c>
      <c r="B81" s="27" t="s">
        <v>453</v>
      </c>
      <c r="C81" s="27" t="s">
        <v>469</v>
      </c>
      <c r="D81" s="28" t="s">
        <v>470</v>
      </c>
      <c r="E81" s="30" t="s">
        <v>12</v>
      </c>
      <c r="F81" s="28" t="s">
        <v>471</v>
      </c>
      <c r="G81" s="27" t="s">
        <v>57</v>
      </c>
      <c r="H81" s="27" t="n">
        <v>13</v>
      </c>
      <c r="I81" s="37" t="s">
        <v>195</v>
      </c>
      <c r="J81" s="26" t="s">
        <v>59</v>
      </c>
      <c r="K81" s="28" t="s">
        <v>472</v>
      </c>
    </row>
    <row r="82" customFormat="false" ht="37.5" hidden="false" customHeight="true" outlineLevel="0" collapsed="false">
      <c r="A82" s="22" t="s">
        <v>473</v>
      </c>
      <c r="B82" s="22" t="s">
        <v>453</v>
      </c>
      <c r="C82" s="22" t="s">
        <v>474</v>
      </c>
      <c r="D82" s="23" t="s">
        <v>475</v>
      </c>
      <c r="E82" s="30" t="s">
        <v>12</v>
      </c>
      <c r="F82" s="23" t="s">
        <v>476</v>
      </c>
      <c r="G82" s="22" t="s">
        <v>57</v>
      </c>
      <c r="H82" s="22" t="n">
        <v>5</v>
      </c>
      <c r="I82" s="31" t="s">
        <v>264</v>
      </c>
      <c r="J82" s="26" t="s">
        <v>59</v>
      </c>
      <c r="K82" s="23" t="s">
        <v>477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4" min="4" style="0" width="28"/>
    <col collapsed="false" customWidth="true" hidden="false" outlineLevel="0" max="5" min="5" style="0" width="50"/>
    <col collapsed="false" customWidth="true" hidden="false" outlineLevel="0" max="7" min="6" style="0" width="14"/>
  </cols>
  <sheetData>
    <row r="2" customFormat="false" ht="33.75" hidden="false" customHeight="true" outlineLevel="0" collapsed="false">
      <c r="B2" s="38" t="s">
        <v>478</v>
      </c>
      <c r="C2" s="38"/>
      <c r="D2" s="38"/>
      <c r="E2" s="38"/>
      <c r="F2" s="38"/>
      <c r="G2" s="38"/>
    </row>
    <row r="3" customFormat="false" ht="24" hidden="false" customHeight="true" outlineLevel="0" collapsed="false">
      <c r="B3" s="39" t="s">
        <v>479</v>
      </c>
      <c r="C3" s="39" t="s">
        <v>480</v>
      </c>
      <c r="D3" s="39" t="s">
        <v>481</v>
      </c>
      <c r="E3" s="39" t="s">
        <v>482</v>
      </c>
      <c r="F3" s="39" t="s">
        <v>483</v>
      </c>
      <c r="G3" s="39" t="s">
        <v>10</v>
      </c>
    </row>
    <row r="4" customFormat="false" ht="36" hidden="false" customHeight="true" outlineLevel="0" collapsed="false">
      <c r="B4" s="40" t="s">
        <v>58</v>
      </c>
      <c r="C4" s="41" t="s">
        <v>484</v>
      </c>
      <c r="D4" s="41" t="s">
        <v>485</v>
      </c>
      <c r="E4" s="42" t="s">
        <v>486</v>
      </c>
      <c r="F4" s="41" t="s">
        <v>487</v>
      </c>
      <c r="G4" s="43" t="n">
        <v>6</v>
      </c>
    </row>
    <row r="5" customFormat="false" ht="36" hidden="false" customHeight="true" outlineLevel="0" collapsed="false">
      <c r="B5" s="40" t="s">
        <v>69</v>
      </c>
      <c r="C5" s="41" t="s">
        <v>488</v>
      </c>
      <c r="D5" s="41" t="s">
        <v>489</v>
      </c>
      <c r="E5" s="42" t="s">
        <v>490</v>
      </c>
      <c r="F5" s="41" t="s">
        <v>487</v>
      </c>
      <c r="G5" s="43" t="n">
        <v>7</v>
      </c>
    </row>
    <row r="6" customFormat="false" ht="36" hidden="false" customHeight="true" outlineLevel="0" collapsed="false">
      <c r="B6" s="40" t="s">
        <v>84</v>
      </c>
      <c r="C6" s="41" t="s">
        <v>491</v>
      </c>
      <c r="D6" s="41" t="s">
        <v>492</v>
      </c>
      <c r="E6" s="42" t="s">
        <v>493</v>
      </c>
      <c r="F6" s="41" t="s">
        <v>487</v>
      </c>
      <c r="G6" s="43" t="n">
        <v>8</v>
      </c>
    </row>
    <row r="7" customFormat="false" ht="36" hidden="false" customHeight="true" outlineLevel="0" collapsed="false">
      <c r="B7" s="44" t="s">
        <v>95</v>
      </c>
      <c r="C7" s="45" t="s">
        <v>494</v>
      </c>
      <c r="D7" s="45" t="s">
        <v>495</v>
      </c>
      <c r="E7" s="46" t="s">
        <v>496</v>
      </c>
      <c r="F7" s="45" t="s">
        <v>497</v>
      </c>
      <c r="G7" s="47" t="n">
        <v>8</v>
      </c>
    </row>
    <row r="8" customFormat="false" ht="36" hidden="false" customHeight="true" outlineLevel="0" collapsed="false">
      <c r="B8" s="48" t="s">
        <v>127</v>
      </c>
      <c r="C8" s="49" t="s">
        <v>498</v>
      </c>
      <c r="D8" s="49" t="s">
        <v>499</v>
      </c>
      <c r="E8" s="50" t="s">
        <v>500</v>
      </c>
      <c r="F8" s="49" t="s">
        <v>501</v>
      </c>
      <c r="G8" s="51" t="n">
        <v>11</v>
      </c>
    </row>
    <row r="9" customFormat="false" ht="36" hidden="false" customHeight="true" outlineLevel="0" collapsed="false">
      <c r="B9" s="52" t="s">
        <v>121</v>
      </c>
      <c r="C9" s="53" t="s">
        <v>502</v>
      </c>
      <c r="D9" s="53" t="s">
        <v>503</v>
      </c>
      <c r="E9" s="54" t="s">
        <v>504</v>
      </c>
      <c r="F9" s="53" t="s">
        <v>505</v>
      </c>
      <c r="G9" s="55" t="n">
        <v>8</v>
      </c>
    </row>
    <row r="10" customFormat="false" ht="36" hidden="false" customHeight="true" outlineLevel="0" collapsed="false">
      <c r="B10" s="56" t="s">
        <v>163</v>
      </c>
      <c r="C10" s="57" t="s">
        <v>506</v>
      </c>
      <c r="D10" s="57" t="s">
        <v>507</v>
      </c>
      <c r="E10" s="58" t="s">
        <v>508</v>
      </c>
      <c r="F10" s="57" t="s">
        <v>509</v>
      </c>
      <c r="G10" s="59" t="n">
        <v>9</v>
      </c>
    </row>
    <row r="11" customFormat="false" ht="36" hidden="false" customHeight="true" outlineLevel="0" collapsed="false">
      <c r="B11" s="60" t="s">
        <v>264</v>
      </c>
      <c r="C11" s="61" t="s">
        <v>510</v>
      </c>
      <c r="D11" s="61" t="s">
        <v>511</v>
      </c>
      <c r="E11" s="62" t="s">
        <v>512</v>
      </c>
      <c r="F11" s="61" t="s">
        <v>513</v>
      </c>
      <c r="G11" s="63" t="n">
        <v>9</v>
      </c>
    </row>
    <row r="12" customFormat="false" ht="36" hidden="false" customHeight="true" outlineLevel="0" collapsed="false">
      <c r="B12" s="64" t="s">
        <v>195</v>
      </c>
      <c r="C12" s="65" t="s">
        <v>514</v>
      </c>
      <c r="D12" s="65" t="s">
        <v>515</v>
      </c>
      <c r="E12" s="66" t="s">
        <v>516</v>
      </c>
      <c r="F12" s="65" t="s">
        <v>517</v>
      </c>
      <c r="G12" s="67" t="n">
        <v>4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5"/>
    <col collapsed="false" customWidth="true" hidden="false" outlineLevel="0" max="4" min="4" style="0" width="55"/>
  </cols>
  <sheetData>
    <row r="2" customFormat="false" ht="31.5" hidden="false" customHeight="true" outlineLevel="0" collapsed="false">
      <c r="B2" s="38" t="s">
        <v>518</v>
      </c>
      <c r="C2" s="38"/>
      <c r="D2" s="38"/>
    </row>
    <row r="3" customFormat="false" ht="23.85" hidden="false" customHeight="false" outlineLevel="0" collapsed="false">
      <c r="B3" s="68" t="s">
        <v>519</v>
      </c>
      <c r="C3" s="68" t="s">
        <v>520</v>
      </c>
      <c r="D3" s="68" t="s">
        <v>521</v>
      </c>
    </row>
    <row r="4" customFormat="false" ht="24" hidden="false" customHeight="true" outlineLevel="0" collapsed="false">
      <c r="B4" s="25" t="s">
        <v>522</v>
      </c>
      <c r="C4" s="69" t="s">
        <v>523</v>
      </c>
      <c r="D4" s="69" t="s">
        <v>524</v>
      </c>
    </row>
    <row r="5" customFormat="false" ht="24" hidden="false" customHeight="true" outlineLevel="0" collapsed="false">
      <c r="B5" s="25" t="s">
        <v>522</v>
      </c>
      <c r="C5" s="69" t="s">
        <v>525</v>
      </c>
      <c r="D5" s="69" t="s">
        <v>526</v>
      </c>
    </row>
    <row r="6" customFormat="false" ht="24" hidden="false" customHeight="true" outlineLevel="0" collapsed="false">
      <c r="B6" s="25" t="s">
        <v>522</v>
      </c>
      <c r="C6" s="69" t="s">
        <v>527</v>
      </c>
      <c r="D6" s="69" t="s">
        <v>528</v>
      </c>
    </row>
    <row r="7" customFormat="false" ht="24" hidden="false" customHeight="true" outlineLevel="0" collapsed="false">
      <c r="B7" s="25" t="s">
        <v>522</v>
      </c>
      <c r="C7" s="69" t="s">
        <v>529</v>
      </c>
      <c r="D7" s="69" t="s">
        <v>530</v>
      </c>
    </row>
    <row r="8" customFormat="false" ht="24" hidden="false" customHeight="true" outlineLevel="0" collapsed="false">
      <c r="B8" s="29" t="s">
        <v>261</v>
      </c>
      <c r="C8" s="70" t="s">
        <v>531</v>
      </c>
      <c r="D8" s="70" t="s">
        <v>532</v>
      </c>
    </row>
    <row r="9" customFormat="false" ht="24" hidden="false" customHeight="true" outlineLevel="0" collapsed="false">
      <c r="B9" s="29" t="s">
        <v>261</v>
      </c>
      <c r="C9" s="70" t="s">
        <v>533</v>
      </c>
      <c r="D9" s="70" t="s">
        <v>534</v>
      </c>
    </row>
    <row r="10" customFormat="false" ht="24" hidden="false" customHeight="true" outlineLevel="0" collapsed="false">
      <c r="B10" s="29" t="s">
        <v>261</v>
      </c>
      <c r="C10" s="70" t="s">
        <v>535</v>
      </c>
      <c r="D10" s="70" t="s">
        <v>536</v>
      </c>
    </row>
    <row r="11" customFormat="false" ht="24" hidden="false" customHeight="true" outlineLevel="0" collapsed="false">
      <c r="B11" s="31" t="s">
        <v>537</v>
      </c>
      <c r="C11" s="71" t="s">
        <v>538</v>
      </c>
      <c r="D11" s="71" t="s">
        <v>539</v>
      </c>
    </row>
    <row r="12" customFormat="false" ht="24" hidden="false" customHeight="true" outlineLevel="0" collapsed="false">
      <c r="B12" s="31" t="s">
        <v>537</v>
      </c>
      <c r="C12" s="71" t="s">
        <v>540</v>
      </c>
      <c r="D12" s="71" t="s">
        <v>541</v>
      </c>
    </row>
    <row r="13" customFormat="false" ht="24" hidden="false" customHeight="true" outlineLevel="0" collapsed="false">
      <c r="B13" s="31" t="s">
        <v>537</v>
      </c>
      <c r="C13" s="71" t="s">
        <v>542</v>
      </c>
      <c r="D13" s="71" t="s">
        <v>543</v>
      </c>
    </row>
    <row r="14" customFormat="false" ht="24" hidden="false" customHeight="true" outlineLevel="0" collapsed="false">
      <c r="B14" s="32" t="s">
        <v>544</v>
      </c>
      <c r="C14" s="72" t="s">
        <v>545</v>
      </c>
      <c r="D14" s="72" t="s">
        <v>546</v>
      </c>
    </row>
    <row r="15" customFormat="false" ht="24" hidden="false" customHeight="true" outlineLevel="0" collapsed="false">
      <c r="B15" s="32" t="s">
        <v>544</v>
      </c>
      <c r="C15" s="72" t="s">
        <v>547</v>
      </c>
      <c r="D15" s="72" t="s">
        <v>548</v>
      </c>
    </row>
    <row r="16" customFormat="false" ht="24" hidden="false" customHeight="true" outlineLevel="0" collapsed="false">
      <c r="B16" s="34" t="s">
        <v>549</v>
      </c>
      <c r="C16" s="73" t="s">
        <v>550</v>
      </c>
      <c r="D16" s="73" t="s">
        <v>530</v>
      </c>
    </row>
    <row r="17" customFormat="false" ht="24" hidden="false" customHeight="true" outlineLevel="0" collapsed="false">
      <c r="B17" s="34" t="s">
        <v>549</v>
      </c>
      <c r="C17" s="73" t="s">
        <v>551</v>
      </c>
      <c r="D17" s="73" t="s">
        <v>552</v>
      </c>
    </row>
    <row r="18" customFormat="false" ht="24" hidden="false" customHeight="true" outlineLevel="0" collapsed="false">
      <c r="B18" s="35" t="s">
        <v>553</v>
      </c>
      <c r="C18" s="74" t="s">
        <v>554</v>
      </c>
      <c r="D18" s="74" t="s">
        <v>555</v>
      </c>
    </row>
    <row r="19" customFormat="false" ht="24" hidden="false" customHeight="true" outlineLevel="0" collapsed="false">
      <c r="B19" s="35" t="s">
        <v>553</v>
      </c>
      <c r="C19" s="74" t="s">
        <v>556</v>
      </c>
      <c r="D19" s="74" t="s">
        <v>557</v>
      </c>
    </row>
    <row r="20" customFormat="false" ht="24" hidden="false" customHeight="true" outlineLevel="0" collapsed="false">
      <c r="B20" s="35" t="s">
        <v>553</v>
      </c>
      <c r="C20" s="74" t="s">
        <v>558</v>
      </c>
      <c r="D20" s="74" t="s">
        <v>559</v>
      </c>
    </row>
    <row r="21" customFormat="false" ht="24" hidden="false" customHeight="true" outlineLevel="0" collapsed="false">
      <c r="B21" s="36" t="s">
        <v>560</v>
      </c>
      <c r="C21" s="75" t="s">
        <v>561</v>
      </c>
      <c r="D21" s="75" t="s">
        <v>562</v>
      </c>
    </row>
    <row r="22" customFormat="false" ht="24" hidden="false" customHeight="true" outlineLevel="0" collapsed="false">
      <c r="B22" s="36" t="s">
        <v>560</v>
      </c>
      <c r="C22" s="75" t="s">
        <v>563</v>
      </c>
      <c r="D22" s="75" t="s">
        <v>564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2026-03-15T16:24:14Z</dcterms:created>
  <dc:creator>openpyxl</dc:creator>
  <dc:description/>
  <dc:language>en-US</dc:language>
  <cp:lastModifiedBy/>
  <dcterms:modified xsi:type="dcterms:W3CDTF">2026-03-15T16:24:15Z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